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3ad4b7879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93990ade9f764ad1"/>
    <x:sheet xmlns:r="http://schemas.openxmlformats.org/officeDocument/2006/relationships" name="Шины" sheetId="2" r:id="R1e3e30b011ed43c5"/>
    <x:sheet xmlns:r="http://schemas.openxmlformats.org/officeDocument/2006/relationships" name="Пуск" sheetId="3" r:id="Rf7d0b7d0ccc84b71"/>
    <x:sheet xmlns:r="http://schemas.openxmlformats.org/officeDocument/2006/relationships" name="Контакты" sheetId="4" r:id="Raf56503058f9438f"/>
    <x:sheet xmlns:r="http://schemas.openxmlformats.org/officeDocument/2006/relationships" name="Нагрузки" sheetId="5" r:id="R57ee232ec5b14687"/>
    <x:sheet xmlns:r="http://schemas.openxmlformats.org/officeDocument/2006/relationships" name="Вход" sheetId="6" r:id="Rc72af9767b2d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"/>
    <x:numFmt numFmtId="202" formatCode="0.0%"/>
    <x:numFmt numFmtId="203" formatCode="0"/>
    <x:numFmt numFmtId="204" formatCode="0.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24364B"/>
      <x:name val="Arial"/>
    </x:font>
    <x:font>
      <x:sz val="10"/>
      <x:color rgb="FF52617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2F5F8"/>
      </x:patternFill>
    </x:fill>
    <x:fill>
      <x:patternFill patternType="solid">
        <x:fgColor rgb="FFFFF0CB"/>
      </x:patternFill>
    </x:fill>
    <x:fill>
      <x:patternFill patternType="solid">
        <x:fgColor rgb="FFEAF2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1" fillId="5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B2424"/>
      </x:font>
      <x:fill>
        <x:patternFill patternType="solid">
          <x:bgColor rgb="FFFBE4E4"/>
        </x:patternFill>
      </x:fill>
    </x:dxf>
    <x:dxf>
      <x:font>
        <x:b/>
        <x:color rgb="FF9B2424"/>
      </x:font>
      <x:fill>
        <x:patternFill patternType="solid">
          <x:bgColor rgb="FFFBE4E4"/>
        </x:patternFill>
      </x:fill>
    </x:dxf>
    <x:dxf>
      <x:font>
        <x:b/>
        <x:color rgb="FF9B2424"/>
      </x:font>
      <x:fill>
        <x:patternFill patternType="solid">
          <x:bgColor rgb="FFFBE4E4"/>
        </x:patternFill>
      </x:fill>
    </x:dxf>
    <x:dxf>
      <x:font>
        <x:b/>
        <x:color rgb="FF9B2424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d2d91b1a04e6e" /><Relationship Type="http://schemas.openxmlformats.org/officeDocument/2006/relationships/theme" Target="/xl/theme/theme1.xml" Id="R46ea2f6159d848e1" /><Relationship Type="http://schemas.openxmlformats.org/officeDocument/2006/relationships/sharedStrings" Target="/xl/sharedStrings.xml" Id="R770e411f39054f47" /><Relationship Type="http://schemas.openxmlformats.org/officeDocument/2006/relationships/worksheet" Target="/xl/worksheets/sheet1.xml" Id="R93990ade9f764ad1" /><Relationship Type="http://schemas.openxmlformats.org/officeDocument/2006/relationships/worksheet" Target="/xl/worksheets/sheet2.xml" Id="R1e3e30b011ed43c5" /><Relationship Type="http://schemas.openxmlformats.org/officeDocument/2006/relationships/worksheet" Target="/xl/worksheets/sheet3.xml" Id="Rf7d0b7d0ccc84b71" /><Relationship Type="http://schemas.openxmlformats.org/officeDocument/2006/relationships/worksheet" Target="/xl/worksheets/sheet4.xml" Id="Raf56503058f9438f" /><Relationship Type="http://schemas.openxmlformats.org/officeDocument/2006/relationships/worksheet" Target="/xl/worksheets/sheet5.xml" Id="R57ee232ec5b14687" /><Relationship Type="http://schemas.openxmlformats.org/officeDocument/2006/relationships/worksheet" Target="/xl/worksheets/sheet6.xml" Id="Rc72af9767b2d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23" hidden="0" customWidth="1"/>
    <x:col min="4" max="4" width="23" hidden="0" customWidth="1"/>
    <x:col min="5" max="5" width="24" hidden="0" customWidth="1"/>
    <x:col min="6" max="6" width="23" hidden="0" customWidth="1"/>
    <x:col min="7" max="7" width="23" hidden="0" customWidth="1"/>
    <x:col min="8" max="8" width="24" hidden="0" customWidth="1"/>
    <x:col min="9" max="9" width="5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MIRA — питание и нагрузка разъёмов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28.10.2026. Предварительный расчёт по 24b4428. Неизвестные нагрузки явно заданы допущениями.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0" customHeight="1">
      <x:c r="A5" s="8" t="str">
        <x:v>Шина</x:v>
      </x:c>
      <x:c r="B5" s="8" t="str">
        <x:v>Номинал, В</x:v>
      </x:c>
      <x:c r="C5" s="8" t="str">
        <x:v>Источник: ср., А</x:v>
      </x:c>
      <x:c r="D5" s="8" t="str">
        <x:v>Источник: пик, А</x:v>
      </x:c>
      <x:c r="E5" s="8" t="str">
        <x:v>Источник: пуск, А</x:v>
      </x:c>
      <x:c r="F5" s="8" t="str">
        <x:v>Пик Control, А</x:v>
      </x:c>
      <x:c r="G5" s="8" t="str">
        <x:v>Контактов питания</x:v>
      </x:c>
      <x:c r="H5" s="8" t="str">
        <x:v>Запас падения, мВ</x:v>
      </x:c>
      <x:c r="I5" s="8" t="str">
        <x:v>Статус</x:v>
      </x:c>
    </x:row>
    <x:row r="6" ht="38" customHeight="1">
      <x:c r="A6" s="9" t="str">
        <x:v>AON</x:v>
      </x:c>
      <x:c r="B6" s="16" t="n">
        <x:f>'Шины'!D6</x:f>
        <x:v>3.28</x:v>
      </x:c>
      <x:c r="C6" s="16" t="n">
        <x:f>'Шины'!N6</x:f>
        <x:v>0.1221</x:v>
      </x:c>
      <x:c r="D6" s="16" t="n">
        <x:f>'Шины'!O6</x:f>
        <x:v>0.20600000000000002</x:v>
      </x:c>
      <x:c r="E6" s="16" t="n">
        <x:f>'Пуск'!J6</x:f>
        <x:v>0.16635604</x:v>
      </x:c>
      <x:c r="F6" s="16" t="n">
        <x:f>'Контакты'!E6</x:f>
        <x:v>0.005</x:v>
      </x:c>
      <x:c r="G6" s="9" t="n">
        <x:f>'Контакты'!C6</x:f>
        <x:v>1</x:v>
      </x:c>
      <x:c r="H6" s="16" t="n">
        <x:f>'Контакты'!M6</x:f>
        <x:v>33.67500000000001</x:v>
      </x:c>
      <x:c r="I6" s="12" t="str">
        <x:v>Значения предварительные; MPN разъёма не выбран</x:v>
      </x:c>
    </x:row>
    <x:row r="7" ht="38" customHeight="1">
      <x:c r="A7" s="2" t="str">
        <x:v>SYS3V3</x:v>
      </x:c>
      <x:c r="B7" s="17" t="n">
        <x:f>'Шины'!D7</x:f>
        <x:v>3.314814814814815</x:v>
      </x:c>
      <x:c r="C7" s="17" t="n">
        <x:f>'Шины'!N7</x:f>
        <x:v>0.43500000000000005</x:v>
      </x:c>
      <x:c r="D7" s="17" t="n">
        <x:f>'Шины'!O7</x:f>
        <x:v>0.9000000000000001</x:v>
      </x:c>
      <x:c r="E7" s="17" t="n">
        <x:f>'Пуск'!J7</x:f>
        <x:v>0.40361111111111114</x:v>
      </x:c>
      <x:c r="F7" s="17" t="n">
        <x:f>'Контакты'!E7</x:f>
        <x:v>0.8800000000000001</x:v>
      </x:c>
      <x:c r="G7" s="2" t="n">
        <x:f>'Контакты'!C7</x:f>
        <x:v>2</x:v>
      </x:c>
      <x:c r="H7" s="17" t="n">
        <x:f>'Контакты'!M7</x:f>
        <x:v>216.31851851851857</x:v>
      </x:c>
      <x:c r="I7" s="13" t="str">
        <x:v>Значения предварительные; MPN разъёма не выбран</x:v>
      </x:c>
    </x:row>
    <x:row r="8" ht="38" customHeight="1">
      <x:c r="A8" s="9" t="str">
        <x:v>USB5</x:v>
      </x:c>
      <x:c r="B8" s="16" t="n">
        <x:f>'Шины'!D8</x:f>
        <x:v>5</x:v>
      </x:c>
      <x:c r="C8" s="16" t="n">
        <x:f>'Шины'!N8</x:f>
        <x:v>0.02</x:v>
      </x:c>
      <x:c r="D8" s="16" t="n">
        <x:f>'Шины'!O8</x:f>
        <x:v>0.05</x:v>
      </x:c>
      <x:c r="E8" s="16" t="n">
        <x:f>'Пуск'!J8</x:f>
        <x:v>0.13291999999999998</x:v>
      </x:c>
      <x:c r="F8" s="16" t="n">
        <x:f>'Контакты'!E8</x:f>
        <x:v>0.05</x:v>
      </x:c>
      <x:c r="G8" s="9" t="n">
        <x:f>'Контакты'!C8</x:f>
        <x:v>1</x:v>
      </x:c>
      <x:c r="H8" s="16" t="n">
        <x:f>'Контакты'!M8</x:f>
        <x:v>136.25000000000034</x:v>
      </x:c>
      <x:c r="I8" s="12" t="str">
        <x:v>Значения предварительные; MPN разъёма не выбран</x:v>
      </x:c>
    </x:row>
    <x:row r="9" ht="38" customHeight="1">
      <x:c r="A9" s="2" t="str">
        <x:v>CORE1V0</x:v>
      </x:c>
      <x:c r="B9" s="17" t="n">
        <x:f>'Шины'!D10</x:f>
        <x:v>1.008</x:v>
      </x:c>
      <x:c r="C9" s="17" t="n">
        <x:f>'Шины'!N10</x:f>
        <x:v>2</x:v>
      </x:c>
      <x:c r="D9" s="17" t="n">
        <x:f>'Шины'!O10</x:f>
        <x:v>4</x:v>
      </x:c>
      <x:c r="E9" s="17" t="n">
        <x:f>'Пуск'!J10</x:f>
        <x:v>1.6193097018181817</x:v>
      </x:c>
      <x:c r="F9" s="17" t="n">
        <x:f>'Контакты'!E9</x:f>
        <x:v>4</x:v>
      </x:c>
      <x:c r="G9" s="2" t="n">
        <x:f>'Контакты'!C9</x:f>
        <x:v>4</x:v>
      </x:c>
      <x:c r="H9" s="17" t="n">
        <x:f>'Контакты'!M9</x:f>
        <x:v>-20.160000000000018</x:v>
      </x:c>
      <x:c r="I9" s="13" t="str">
        <x:v>Нужны XPE и проверка сопротивления пути</x:v>
      </x:c>
    </x:row>
    <x:row r="10" ht="38" customHeight="1">
      <x:c r="A10" s="9" t="str">
        <x:v>AUX1V8</x:v>
      </x:c>
      <x:c r="B10" s="16" t="n">
        <x:f>'Шины'!D11</x:f>
        <x:v>1.8</x:v>
      </x:c>
      <x:c r="C10" s="16" t="n">
        <x:f>'Шины'!N11</x:f>
        <x:v>0.15</x:v>
      </x:c>
      <x:c r="D10" s="16" t="n">
        <x:f>'Шины'!O11</x:f>
        <x:v>0.3</x:v>
      </x:c>
      <x:c r="E10" s="16" t="n">
        <x:f>'Пуск'!J11</x:f>
        <x:v>0.19771439999999998</x:v>
      </x:c>
      <x:c r="F10" s="16" t="n">
        <x:f>'Контакты'!E10</x:f>
        <x:v>0.3</x:v>
      </x:c>
      <x:c r="G10" s="9" t="n">
        <x:f>'Контакты'!C10</x:f>
        <x:v>2</x:v>
      </x:c>
      <x:c r="H10" s="16" t="n">
        <x:f>'Контакты'!M10</x:f>
        <x:v>33.50000000000005</x:v>
      </x:c>
      <x:c r="I10" s="12" t="str">
        <x:v>Значения предварительные; MPN разъёма не выбран</x:v>
      </x:c>
    </x:row>
    <x:row r="11" ht="38" customHeight="1">
      <x:c r="A11" s="2" t="str">
        <x:v>IO3V3</x:v>
      </x:c>
      <x:c r="B11" s="17" t="n">
        <x:f>'Шины'!D13</x:f>
        <x:v>3.295</x:v>
      </x:c>
      <x:c r="C11" s="17" t="n">
        <x:f>'Шины'!N13</x:f>
        <x:v>0.64703</x:v>
      </x:c>
      <x:c r="D11" s="17" t="n">
        <x:f>'Шины'!O13</x:f>
        <x:v>1.19003</x:v>
      </x:c>
      <x:c r="E11" s="17" t="n">
        <x:f>'Пуск'!J13</x:f>
        <x:v>0.912907788</x:v>
      </x:c>
      <x:c r="F11" s="17" t="n">
        <x:f>'Контакты'!E11</x:f>
        <x:v>1.19003</x:v>
      </x:c>
      <x:c r="G11" s="2" t="n">
        <x:f>'Контакты'!C11</x:f>
        <x:v>3</x:v>
      </x:c>
      <x:c r="H11" s="17" t="n">
        <x:f>'Контакты'!M11</x:f>
        <x:v>31.415716666666622</x:v>
      </x:c>
      <x:c r="I11" s="13" t="str">
        <x:v>Значения предварительные; MPN разъёма не выбран</x:v>
      </x:c>
    </x:row>
    <x:row r="12" ht="38" customHeight="1">
      <x:c r="A12" s="9" t="str">
        <x:v>DDR1V35</x:v>
      </x:c>
      <x:c r="B12" s="16" t="n">
        <x:f>'Шины'!D14</x:f>
        <x:v>1.35</x:v>
      </x:c>
      <x:c r="C12" s="16" t="n">
        <x:f>'Шины'!N14</x:f>
        <x:v>0.555561122244489</x:v>
      </x:c>
      <x:c r="D12" s="16" t="n">
        <x:f>'Шины'!O14</x:f>
        <x:v>1.111122244488978</x:v>
      </x:c>
      <x:c r="E12" s="16" t="n">
        <x:f>'Пуск'!J14</x:f>
        <x:v>0.23898608</x:v>
      </x:c>
      <x:c r="F12" s="16" t="n">
        <x:f>'Контакты'!E12</x:f>
        <x:v>0.8</x:v>
      </x:c>
      <x:c r="G12" s="9" t="n">
        <x:f>'Контакты'!C12</x:f>
        <x:v>3</x:v>
      </x:c>
      <x:c r="H12" s="16" t="n">
        <x:f>'Контакты'!M12</x:f>
        <x:v>10.055444221776861</x:v>
      </x:c>
      <x:c r="I12" s="12" t="str">
        <x:v>Значения предварительные; MPN разъёма не выбран</x:v>
      </x:c>
    </x:row>
    <x:row r="13" ht="38" customHeight="1">
      <x:c r="A13" s="2" t="str">
        <x:v>PHY1V05</x:v>
      </x:c>
      <x:c r="B13" s="17" t="n">
        <x:f>'Шины'!D15</x:f>
        <x:v>1.0495</x:v>
      </x:c>
      <x:c r="C13" s="17" t="n">
        <x:f>'Шины'!N15</x:f>
        <x:v>0.108</x:v>
      </x:c>
      <x:c r="D13" s="17" t="n">
        <x:f>'Шины'!O15</x:f>
        <x:v>0.2</x:v>
      </x:c>
      <x:c r="E13" s="17" t="n">
        <x:f>'Пуск'!J15</x:f>
        <x:v>0.12213046799999999</x:v>
      </x:c>
      <x:c r="F13" s="17" t="n">
        <x:f>'Контакты'!E13</x:f>
        <x:v>0.2</x:v>
      </x:c>
      <x:c r="G13" s="2" t="n">
        <x:f>'Контакты'!C13</x:f>
        <x:v>1</x:v>
      </x:c>
      <x:c r="H13" s="17" t="n">
        <x:f>'Контакты'!M13</x:f>
        <x:v>59.510000000000076</x:v>
      </x:c>
      <x:c r="I13" s="13" t="str">
        <x:v>Значения предварительные; MPN разъёма не выбран</x:v>
      </x:c>
    </x:row>
    <x:row r="14" ht="38" customHeight="1">
      <x:c r="A14" s="9" t="str">
        <x:v>VTT</x:v>
      </x:c>
      <x:c r="B14" s="16" t="n">
        <x:f>'Шины'!D16</x:f>
        <x:v>0.675</x:v>
      </x:c>
      <x:c r="C14" s="16" t="n">
        <x:f>'Шины'!N16</x:f>
        <x:v>0.15556112224448898</x:v>
      </x:c>
      <x:c r="D14" s="16" t="n">
        <x:f>'Шины'!O16</x:f>
        <x:v>0.31112224448897796</x:v>
      </x:c>
      <x:c r="E14" s="16" t="n">
        <x:f>'Пуск'!J16</x:f>
        <x:v>0.02486</x:v>
      </x:c>
      <x:c r="F14" s="16" t="n">
        <x:f>'Контакты'!E14</x:f>
        <x:v>0.31112224448897796</x:v>
      </x:c>
      <x:c r="G14" s="9" t="n">
        <x:f>'Контакты'!C14</x:f>
        <x:v>1</x:v>
      </x:c>
      <x:c r="H14" s="16" t="str">
        <x:f>'Контакты'!M14</x:f>
        <x:v>проверить отдельно</x:v>
      </x:c>
      <x:c r="I14" s="12" t="str">
        <x:v>Проверить tracking и межплатный возврат</x:v>
      </x:c>
    </x:row>
    <x:row r="15" ht="38" customHeight="1">
      <x:c r="A15" s="2" t="str">
        <x:v>DDR_VREF</x:v>
      </x:c>
      <x:c r="B15" s="17" t="n">
        <x:f>'Шины'!D17</x:f>
        <x:v>0.675</x:v>
      </x:c>
      <x:c r="C15" s="17" t="n">
        <x:f>'Шины'!N17</x:f>
        <x:v>0.0001</x:v>
      </x:c>
      <x:c r="D15" s="17" t="n">
        <x:f>'Шины'!O17</x:f>
        <x:v>0.001</x:v>
      </x:c>
      <x:c r="E15" s="17" t="n">
        <x:f>'Пуск'!J17</x:f>
        <x:v>0.000181</x:v>
      </x:c>
      <x:c r="F15" s="17" t="n">
        <x:f>'Контакты'!E15</x:f>
        <x:v>0.001</x:v>
      </x:c>
      <x:c r="G15" s="2" t="n">
        <x:f>'Контакты'!C15</x:f>
        <x:v>1</x:v>
      </x:c>
      <x:c r="H15" s="17" t="str">
        <x:f>'Контакты'!M15</x:f>
        <x:v>проверить отдельно</x:v>
      </x:c>
      <x:c r="I15" s="13" t="str">
        <x:v>Проверить tracking и межплатный возврат</x:v>
      </x:c>
    </x:row>
    <x:row r="16" ht="38" customHeight="1">
      <x:c r="A16" s="9" t="str">
        <x:v>ANA5</x:v>
      </x:c>
      <x:c r="B16" s="16" t="n">
        <x:f>'Шины'!D19</x:f>
        <x:v>5</x:v>
      </x:c>
      <x:c r="C16" s="16" t="n">
        <x:f>'Шины'!N19</x:f>
        <x:v>0.10543</x:v>
      </x:c>
      <x:c r="D16" s="16" t="n">
        <x:f>'Шины'!O19</x:f>
        <x:v>0.20643</x:v>
      </x:c>
      <x:c r="E16" s="16" t="n">
        <x:f>'Пуск'!J19</x:f>
        <x:v>0.13775073846153846</x:v>
      </x:c>
      <x:c r="F16" s="16" t="n">
        <x:f>'Контакты'!E16</x:f>
        <x:v>0.15</x:v>
      </x:c>
      <x:c r="G16" s="9" t="n">
        <x:f>'Контакты'!C16</x:f>
        <x:v>1</x:v>
      </x:c>
      <x:c r="H16" s="16" t="n">
        <x:f>'Контакты'!M16</x:f>
        <x:v>125.92850000000033</x:v>
      </x:c>
      <x:c r="I16" s="12" t="str">
        <x:v>Значения предварительные; MPN разъёма не выбран</x:v>
      </x:c>
    </x:row>
    <x:row r="17" ht="38" customHeight="1">
      <x:c r="A17" s="2" t="str">
        <x:v>ANA3V3</x:v>
      </x:c>
      <x:c r="B17" s="17" t="n">
        <x:f>'Шины'!D20</x:f>
        <x:v>3.295</x:v>
      </x:c>
      <x:c r="C17" s="17" t="n">
        <x:f>'Шины'!N20</x:f>
        <x:v>0.02103</x:v>
      </x:c>
      <x:c r="D17" s="17" t="n">
        <x:f>'Шины'!O20</x:f>
        <x:v>0.05203000000000001</x:v>
      </x:c>
      <x:c r="E17" s="17" t="n">
        <x:f>'Пуск'!J20</x:f>
        <x:v>0.02610458461538461</x:v>
      </x:c>
      <x:c r="F17" s="17" t="n">
        <x:f>'Контакты'!E17</x:f>
        <x:v>0.050030000000000005</x:v>
      </x:c>
      <x:c r="G17" s="2" t="n">
        <x:f>'Контакты'!C17</x:f>
        <x:v>1</x:v>
      </x:c>
      <x:c r="H17" s="17" t="n">
        <x:f>'Контакты'!M17</x:f>
        <x:v>80.24775000000007</x:v>
      </x:c>
      <x:c r="I17" s="13" t="str">
        <x:v>Значения предварительные; MPN разъёма не выбран</x:v>
      </x:c>
    </x:row>
    <x:row r="18" ht="38" customHeight="1">
      <x:c r="A18" s="9" t="str">
        <x:v>P15</x:v>
      </x:c>
      <x:c r="B18" s="16" t="n">
        <x:f>'Шины'!D21</x:f>
        <x:v>14.990045248868777</x:v>
      </x:c>
      <x:c r="C18" s="16" t="n">
        <x:f>'Шины'!N21</x:f>
        <x:v>0.1281</x:v>
      </x:c>
      <x:c r="D18" s="16" t="n">
        <x:f>'Шины'!O21</x:f>
        <x:v>0.36810000000000004</x:v>
      </x:c>
      <x:c r="E18" s="16" t="n">
        <x:f>'Пуск'!J21</x:f>
        <x:v>0.5894901972850679</x:v>
      </x:c>
      <x:c r="F18" s="16" t="n">
        <x:f>'Контакты'!E18</x:f>
        <x:v>0.30810000000000004</x:v>
      </x:c>
      <x:c r="G18" s="9" t="n">
        <x:f>'Контакты'!C18</x:f>
        <x:v>1</x:v>
      </x:c>
      <x:c r="H18" s="16" t="n">
        <x:f>'Контакты'!M18</x:f>
        <x:v>385.73184389140056</x:v>
      </x:c>
      <x:c r="I18" s="12" t="str">
        <x:v>Значения предварительные; MPN разъёма не выбран</x:v>
      </x:c>
    </x:row>
    <x:row r="19" ht="38" customHeight="1">
      <x:c r="A19" s="2" t="str">
        <x:v>N15</x:v>
      </x:c>
      <x:c r="B19" s="17" t="n">
        <x:f>'Шины'!D22</x:f>
        <x:v>-14.990045248868777</x:v>
      </x:c>
      <x:c r="C19" s="17" t="n">
        <x:f>'Шины'!N22</x:f>
        <x:v>0.125</x:v>
      </x:c>
      <x:c r="D19" s="17" t="n">
        <x:f>'Шины'!O22</x:f>
        <x:v>0.36000000000000004</x:v>
      </x:c>
      <x:c r="E19" s="17" t="n">
        <x:f>'Пуск'!J22</x:f>
        <x:v>0.6351778751131222</x:v>
      </x:c>
      <x:c r="F19" s="17" t="n">
        <x:f>'Контакты'!E19</x:f>
        <x:v>0.30000000000000004</x:v>
      </x:c>
      <x:c r="G19" s="2" t="n">
        <x:f>'Контакты'!C19</x:f>
        <x:v>1</x:v>
      </x:c>
      <x:c r="H19" s="17" t="n">
        <x:f>'Контакты'!M19</x:f>
        <x:v>386.7443438914005</x:v>
      </x:c>
      <x:c r="I19" s="13" t="str">
        <x:v>Проверить пуск, рампу и sequencing</x:v>
      </x:c>
    </x:row>
    <x:row r="20" ht="38" customHeight="1">
      <x:c r="A20" s="9" t="str">
        <x:v>PROG_P15</x:v>
      </x:c>
      <x:c r="B20" s="16" t="n">
        <x:f>'Шины'!D23</x:f>
        <x:v>14.990045248868777</x:v>
      </x:c>
      <x:c r="C20" s="16" t="n">
        <x:f>'Шины'!N23</x:f>
        <x:v>0.02</x:v>
      </x:c>
      <x:c r="D20" s="16" t="n">
        <x:f>'Шины'!O23</x:f>
        <x:v>0.06</x:v>
      </x:c>
      <x:c r="E20" s="16" t="n">
        <x:f>'Пуск'!J23</x:f>
        <x:v>0.06644583529411763</x:v>
      </x:c>
      <x:c r="F20" s="16" t="n">
        <x:f>'Контакты'!E20</x:f>
        <x:v>0.06</x:v>
      </x:c>
      <x:c r="G20" s="9" t="n">
        <x:f>'Контакты'!C20</x:f>
        <x:v>1</x:v>
      </x:c>
      <x:c r="H20" s="16" t="n">
        <x:f>'Контакты'!M20</x:f>
        <x:v>391.93434389140054</x:v>
      </x:c>
      <x:c r="I20" s="12" t="str">
        <x:v>Значения предварительные; MPN разъёма не выбран</x:v>
      </x:c>
    </x:row>
    <x:row r="21" ht="38" customHeight="1">
      <x:c r="A21" s="2" t="str">
        <x:v>PROG_N15</x:v>
      </x:c>
      <x:c r="B21" s="17" t="n">
        <x:f>'Шины'!D24</x:f>
        <x:v>-14.990045248868777</x:v>
      </x:c>
      <x:c r="C21" s="17" t="n">
        <x:f>'Шины'!N24</x:f>
        <x:v>0.02</x:v>
      </x:c>
      <x:c r="D21" s="17" t="n">
        <x:f>'Шины'!O24</x:f>
        <x:v>0.06</x:v>
      </x:c>
      <x:c r="E21" s="17" t="n">
        <x:f>'Пуск'!J24</x:f>
        <x:v>0.06644583529411763</x:v>
      </x:c>
      <x:c r="F21" s="17" t="n">
        <x:f>'Контакты'!E21</x:f>
        <x:v>0.06</x:v>
      </x:c>
      <x:c r="G21" s="2" t="n">
        <x:f>'Контакты'!C21</x:f>
        <x:v>1</x:v>
      </x:c>
      <x:c r="H21" s="17" t="n">
        <x:f>'Контакты'!M21</x:f>
        <x:v>392.7443438914005</x:v>
      </x:c>
      <x:c r="I21" s="13" t="str">
        <x:v>Значения предварительные; MPN разъёма не выбран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 t="str">
        <x:v>Вход 24 В: средний ток, А</x:v>
      </x:c>
      <x:c r="B24" s="2"/>
      <x:c r="C24" s="2"/>
      <x:c r="D24" s="17" t="n">
        <x:f>'Вход'!C29</x:f>
        <x:v>0.6080574097421761</x:v>
      </x:c>
      <x:c r="E24" s="2"/>
      <x:c r="F24" s="2"/>
      <x:c r="G24" s="2"/>
      <x:c r="H24" s="2"/>
      <x:c r="I24" s="2"/>
    </x:row>
    <x:row r="25">
      <x:c r="A25" s="2" t="str">
        <x:v>Вход 24 В: пиковый ток, А</x:v>
      </x:c>
      <x:c r="B25" s="2"/>
      <x:c r="C25" s="2"/>
      <x:c r="D25" s="17" t="n">
        <x:f>'Вход'!C30</x:f>
        <x:v>1.3541294952707617</x:v>
      </x:c>
      <x:c r="E25" s="2"/>
      <x:c r="F25" s="2"/>
      <x:c r="G25" s="2"/>
      <x:c r="H25" s="2"/>
      <x:c r="I25" s="2"/>
    </x:row>
    <x:row r="26">
      <x:c r="A26" s="2" t="str">
        <x:v>Вход 18 В: пиковый ток, А</x:v>
      </x:c>
      <x:c r="B26" s="2"/>
      <x:c r="C26" s="2"/>
      <x:c r="D26" s="17" t="n">
        <x:f>'Вход'!C31</x:f>
        <x:v>1.8152490771758512</x:v>
      </x:c>
      <x:c r="E26" s="2"/>
      <x:c r="F26" s="2"/>
      <x:c r="G26" s="2"/>
      <x:c r="H26" s="2"/>
      <x:c r="I26" s="2"/>
    </x:row>
    <x:row r="27">
      <x:c r="A27" s="1" t="str">
        <x:v>Мощность внешнего БП с запасом, Вт</x:v>
      </x:c>
      <x:c r="B27" s="1"/>
      <x:c r="C27" s="1"/>
      <x:c r="D27" s="29" t="n">
        <x:f>'Вход'!C37</x:f>
        <x:v>40.62388485812285</x:v>
      </x:c>
      <x:c r="E27" s="1"/>
      <x:c r="F27" s="1"/>
      <x:c r="G27" s="1"/>
      <x:c r="H27" s="1"/>
      <x:c r="I27" s="1"/>
    </x:row>
    <x:row r="28">
      <x:c r="A28" s="1" t="str">
        <x:v>Оценка нижнего порога eFuse, А</x:v>
      </x:c>
      <x:c r="B28" s="1"/>
      <x:c r="C28" s="1"/>
      <x:c r="D28" s="29" t="n">
        <x:f>'Вход'!C35</x:f>
        <x:v>3.1450203843913807</x:v>
      </x:c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 t="str">
        <x:v>Что требуется для закрытия задачи</x:v>
      </x:c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30" customHeight="1">
      <x:c r="A33" s="30" t="str">
        <x:v>1. Уточнить ток FPGA в XPE и сценарий матрицы; согласовать расчётные допущения.</x:v>
      </x:c>
      <x:c r="B33" s="30"/>
      <x:c r="C33" s="30"/>
      <x:c r="D33" s="30"/>
      <x:c r="E33" s="30"/>
      <x:c r="F33" s="30"/>
      <x:c r="G33" s="30"/>
      <x:c r="H33" s="30"/>
      <x:c r="I33" s="30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30" customHeight="1">
      <x:c r="A35" s="30" t="str">
        <x:v>2. Подтвердить фактические рампы, EN и пуск −15 В при минимальном входе.</x:v>
      </x:c>
      <x:c r="B35" s="30"/>
      <x:c r="C35" s="30"/>
      <x:c r="D35" s="30"/>
      <x:c r="E35" s="30"/>
      <x:c r="F35" s="30"/>
      <x:c r="G35" s="30"/>
      <x:c r="H35" s="30"/>
      <x:c r="I35" s="30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30" customHeight="1">
      <x:c r="A37" s="30" t="str">
        <x:v>3. Выбрать пару разъёмов и проверить ток при одновременной нагрузке контактов и реальную петлю GND.</x:v>
      </x:c>
      <x:c r="B37" s="30"/>
      <x:c r="C37" s="30"/>
      <x:c r="D37" s="30"/>
      <x:c r="E37" s="30"/>
      <x:c r="F37" s="30"/>
      <x:c r="G37" s="30"/>
      <x:c r="H37" s="30"/>
      <x:c r="I37" s="30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30" customHeight="1">
      <x:c r="A39" s="30" t="str">
        <x:v>4. Уточнить допуски напряжений, входную защиту, тепловые ограничения и реальные сопротивления.</x:v>
      </x:c>
      <x:c r="B39" s="30"/>
      <x:c r="C39" s="30"/>
      <x:c r="D39" s="30"/>
      <x:c r="E39" s="30"/>
      <x:c r="F39" s="30"/>
      <x:c r="G39" s="30"/>
      <x:c r="H39" s="30"/>
      <x:c r="I39" s="30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30" customHeight="1">
      <x:c r="A41" s="30" t="str">
        <x:v>Расчёт не изменяет схемы. FT1V0 / FT_PLL1V0 учтены в потреблении FT601 от IO3V3; фильтрованные ветви не добавляют второй источник мощности.</x:v>
      </x:c>
      <x:c r="B41" s="30"/>
      <x:c r="C41" s="30"/>
      <x:c r="D41" s="30"/>
      <x:c r="E41" s="30"/>
      <x:c r="F41" s="30"/>
      <x:c r="G41" s="30"/>
      <x:c r="H41" s="30"/>
      <x:c r="I41" s="30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30" customHeight="1">
      <x:c r="A43" s="30" t="str">
        <x:v>Модель предполагает штатную работу узлов. Вопросы ERC остаются открытыми. Мелкие фильтрованные ёмкости и токи пуска ИС ещё уточнить.</x:v>
      </x:c>
      <x:c r="B43" s="30"/>
      <x:c r="C43" s="30"/>
      <x:c r="D43" s="30"/>
      <x:c r="E43" s="30"/>
      <x:c r="F43" s="30"/>
      <x:c r="G43" s="30"/>
      <x:c r="H43" s="30"/>
      <x:c r="I43" s="30"/>
    </x:row>
  </x:sheetData>
  <x:mergeCells>
    <x:mergeCell ref="A24:C24"/>
    <x:mergeCell ref="A25:C25"/>
    <x:mergeCell ref="A26:C26"/>
    <x:mergeCell ref="A27:C27"/>
    <x:mergeCell ref="A28:C28"/>
    <x:mergeCell ref="A33:I33"/>
    <x:mergeCell ref="A35:I35"/>
    <x:mergeCell ref="A37:I37"/>
    <x:mergeCell ref="A39:I39"/>
    <x:mergeCell ref="A41:I41"/>
    <x:mergeCell ref="A43:I43"/>
  </x:mergeCells>
  <x:conditionalFormatting sqref="H6:H21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37C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13" hidden="0" customWidth="1"/>
    <x:col min="5" max="5" width="18" hidden="0" customWidth="1"/>
    <x:col min="6" max="6" width="13" hidden="0" customWidth="1"/>
    <x:col min="7" max="7" width="13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1" hidden="0" customWidth="1"/>
    <x:col min="19" max="19" width="17" hidden="0" customWidth="1"/>
    <x:col min="20" max="20" width="13" hidden="0" customWidth="1"/>
    <x:col min="21" max="21" width="13" hidden="0" customWidth="1"/>
    <x:col min="22" max="22" width="65" hidden="0" customWidth="1"/>
    <x:col min="23" max="23" width="65" hidden="0" customWidth="1"/>
    <x:col min="24" max="24" width="18" hidden="0" customWidth="1"/>
    <x:col min="25" max="25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Источники и баланс токов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 t="str">
        <x:v>Номиналы до шунта. Для отрицательных шин мощность и ток рассчитаны по модулю. Паспортный ток ИС не подтверждает тепловой запас платы.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0" customHeight="1">
      <x:c r="A5" s="8" t="str">
        <x:v>Шина</x:v>
      </x:c>
      <x:c r="B5" s="8" t="str">
        <x:v>Откуда</x:v>
      </x:c>
      <x:c r="C5" s="8" t="str">
        <x:v>Источник</x:v>
      </x:c>
      <x:c r="D5" s="8" t="str">
        <x:v>Vraw, В</x:v>
      </x:c>
      <x:c r="E5" s="8" t="str">
        <x:v>Ток ИС / оценка, А</x:v>
      </x:c>
      <x:c r="F5" s="8" t="str">
        <x:v>Шунт, Ом</x:v>
      </x:c>
      <x:c r="G5" s="8" t="str">
        <x:v>Тип</x:v>
      </x:c>
      <x:c r="H5" s="8" t="str">
        <x:v>КПД</x:v>
      </x:c>
      <x:c r="I5" s="8" t="str">
        <x:v>Iq входа, А</x:v>
      </x:c>
      <x:c r="J5" s="8" t="str">
        <x:v>Прямой ср., А</x:v>
      </x:c>
      <x:c r="K5" s="8" t="str">
        <x:v>Прямой пик, А</x:v>
      </x:c>
      <x:c r="L5" s="8" t="str">
        <x:v>Дочерние ср., А</x:v>
      </x:c>
      <x:c r="M5" s="8" t="str">
        <x:v>Дочерние пик, А</x:v>
      </x:c>
      <x:c r="N5" s="8" t="str">
        <x:v>Всего ср., А</x:v>
      </x:c>
      <x:c r="O5" s="8" t="str">
        <x:v>Всего пик, А</x:v>
      </x:c>
      <x:c r="P5" s="8" t="str">
        <x:v>Вход ср., А</x:v>
      </x:c>
      <x:c r="Q5" s="8" t="str">
        <x:v>Вход пик, А</x:v>
      </x:c>
      <x:c r="R5" s="8" t="str">
        <x:v>Мощность выхода пик, Вт</x:v>
      </x:c>
      <x:c r="S5" s="8" t="str">
        <x:v>Запас по току, А</x:v>
      </x:c>
      <x:c r="T5" s="8" t="str">
        <x:v>Vmin |В|</x:v>
      </x:c>
      <x:c r="U5" s="8" t="str">
        <x:v>Vmax |В|</x:v>
      </x:c>
      <x:c r="V5" s="8" t="str">
        <x:v>Основание окна / ограничения</x:v>
      </x:c>
      <x:c r="W5" s="8" t="str">
        <x:v>Источник документа</x:v>
      </x:c>
      <x:c r="X5" s="8" t="str">
        <x:v>Плата источника</x:v>
      </x:c>
      <x:c r="Y5" s="28" t="str">
        <x:v>Потери источника пик, Вт</x:v>
      </x:c>
    </x:row>
    <x:row r="6" ht="47" customHeight="1">
      <x:c r="A6" s="9" t="str">
        <x:v>AON</x:v>
      </x:c>
      <x:c r="B6" s="9" t="str">
        <x:v>BUS24</x:v>
      </x:c>
      <x:c r="C6" s="9" t="str">
        <x:v>U501 LMR51610</x:v>
      </x:c>
      <x:c r="D6" s="16" t="n">
        <x:v>3.28</x:v>
      </x:c>
      <x:c r="E6" s="16" t="n">
        <x:v>1</x:v>
      </x:c>
      <x:c r="F6" s="16" t="n">
        <x:v>0.1</x:v>
      </x:c>
      <x:c r="G6" s="16" t="str">
        <x:v>buck</x:v>
      </x:c>
      <x:c r="H6" s="15" t="n">
        <x:v>0.85</x:v>
      </x:c>
      <x:c r="I6" s="25" t="n">
        <x:v>0.000025</x:v>
      </x:c>
      <x:c r="J6" s="16" t="n">
        <x:f>SUMIFS('Нагрузки'!$D$6:$D$37,'Нагрузки'!$A$6:$A$37,A6)</x:f>
        <x:v>0.122</x:v>
      </x:c>
      <x:c r="K6" s="16" t="n">
        <x:f>SUMIFS('Нагрузки'!$E$6:$E$37,'Нагрузки'!$A$6:$A$37,A6)</x:f>
        <x:v>0.20500000000000002</x:v>
      </x:c>
      <x:c r="L6" s="16" t="n">
        <x:f>P17</x:f>
        <x:v>0.0001</x:v>
      </x:c>
      <x:c r="M6" s="16" t="n">
        <x:f>Q17</x:f>
        <x:v>0.001</x:v>
      </x:c>
      <x:c r="N6" s="16" t="n">
        <x:f>J6+L6</x:f>
        <x:v>0.1221</x:v>
      </x:c>
      <x:c r="O6" s="16" t="n">
        <x:f>K6+M6</x:f>
        <x:v>0.20600000000000002</x:v>
      </x:c>
      <x:c r="P6" s="16" t="n">
        <x:f>ABS(D6)*N6/('Вход'!$C$6*H6)+I6</x:f>
        <x:v>0.019656764705882353</x:v>
      </x:c>
      <x:c r="Q6" s="16" t="n">
        <x:f>ABS(D6)*O6/('Вход'!$C$6*H6)+I6</x:f>
        <x:v>0.03314656862745098</x:v>
      </x:c>
      <x:c r="R6" s="16" t="n">
        <x:f>ABS(D6)*O6</x:f>
        <x:v>0.6756800000000001</x:v>
      </x:c>
      <x:c r="S6" s="16" t="n">
        <x:f>E6-O6</x:f>
        <x:v>0.794</x:v>
      </x:c>
      <x:c r="T6" s="16" t="n">
        <x:v>3.15</x:v>
      </x:c>
      <x:c r="U6" s="16" t="n">
        <x:v>3.45</x:v>
      </x:c>
      <x:c r="V6" s="12" t="str">
        <x:v>D11: проектное окно ±5% от 3,3; проверить supervisor</x:v>
      </x:c>
      <x:c r="W6" s="12" t="str">
        <x:v>https://www.ti.com/product/LMR51610</x:v>
      </x:c>
      <x:c r="X6" s="12" t="str">
        <x:v>Power</x:v>
      </x:c>
      <x:c r="Y6" s="23" t="n">
        <x:f>'Вход'!$C$6*Q6-R6</x:f>
        <x:v>0.1198376470588235</x:v>
      </x:c>
    </x:row>
    <x:row r="7" ht="47" customHeight="1">
      <x:c r="A7" s="2" t="str">
        <x:v>SYS3V3</x:v>
      </x:c>
      <x:c r="B7" s="2" t="str">
        <x:v>BUS24</x:v>
      </x:c>
      <x:c r="C7" s="2" t="str">
        <x:v>U701 LM76005</x:v>
      </x:c>
      <x:c r="D7" s="17" t="n">
        <x:v>3.314814814814815</x:v>
      </x:c>
      <x:c r="E7" s="17" t="n">
        <x:v>5</x:v>
      </x:c>
      <x:c r="F7" s="17" t="n">
        <x:v>0.01</x:v>
      </x:c>
      <x:c r="G7" s="17" t="str">
        <x:v>buck</x:v>
      </x:c>
      <x:c r="H7" s="15" t="n">
        <x:v>0.9</x:v>
      </x:c>
      <x:c r="I7" s="25" t="n">
        <x:v>0.000015</x:v>
      </x:c>
      <x:c r="J7" s="17" t="n">
        <x:f>SUMIFS('Нагрузки'!$D$6:$D$37,'Нагрузки'!$A$6:$A$37,A7)</x:f>
        <x:v>0.43500000000000005</x:v>
      </x:c>
      <x:c r="K7" s="17" t="n">
        <x:f>SUMIFS('Нагрузки'!$E$6:$E$37,'Нагрузки'!$A$6:$A$37,A7)</x:f>
        <x:v>0.9000000000000001</x:v>
      </x:c>
      <x:c r="L7" s="17" t="n">
        <x:f>0</x:f>
        <x:v>0</x:v>
      </x:c>
      <x:c r="M7" s="17" t="n">
        <x:f>0</x:f>
        <x:v>0</x:v>
      </x:c>
      <x:c r="N7" s="17" t="n">
        <x:f>J7+L7</x:f>
        <x:v>0.43500000000000005</x:v>
      </x:c>
      <x:c r="O7" s="17" t="n">
        <x:f>K7+M7</x:f>
        <x:v>0.9000000000000001</x:v>
      </x:c>
      <x:c r="P7" s="17" t="n">
        <x:f>ABS(D7)*N7/('Вход'!$C$6*H7)+I7</x:f>
        <x:v>0.06677168724279836</x:v>
      </x:c>
      <x:c r="Q7" s="17" t="n">
        <x:f>ABS(D7)*O7/('Вход'!$C$6*H7)+I7</x:f>
        <x:v>0.13813228395061727</x:v>
      </x:c>
      <x:c r="R7" s="17" t="n">
        <x:f>ABS(D7)*O7</x:f>
        <x:v>2.983333333333334</x:v>
      </x:c>
      <x:c r="S7" s="17" t="n">
        <x:f>E7-O7</x:f>
        <x:v>4.1</x:v>
      </x:c>
      <x:c r="T7" s="17" t="n">
        <x:v>3</x:v>
      </x:c>
      <x:c r="U7" s="17" t="n">
        <x:v>3.6</x:v>
      </x:c>
      <x:c r="V7" s="13" t="str">
        <x:v>D11: предварительное общее окно, подтвердить все потребители</x:v>
      </x:c>
      <x:c r="W7" s="13" t="str">
        <x:v>https://www.ti.com/product/LM76005</x:v>
      </x:c>
      <x:c r="X7" s="13" t="str">
        <x:v>Power</x:v>
      </x:c>
      <x:c r="Y7" s="23" t="n">
        <x:f>'Вход'!$C$6*Q7-R7</x:f>
        <x:v>0.33184148148148074</x:v>
      </x:c>
    </x:row>
    <x:row r="8" ht="47" customHeight="1">
      <x:c r="A8" s="9" t="str">
        <x:v>USB5</x:v>
      </x:c>
      <x:c r="B8" s="9" t="str">
        <x:v>BUS24</x:v>
      </x:c>
      <x:c r="C8" s="9" t="str">
        <x:v>U601 LMR51610</x:v>
      </x:c>
      <x:c r="D8" s="16" t="n">
        <x:v>5</x:v>
      </x:c>
      <x:c r="E8" s="16" t="n">
        <x:v>1</x:v>
      </x:c>
      <x:c r="F8" s="16" t="n">
        <x:v>0.05</x:v>
      </x:c>
      <x:c r="G8" s="16" t="str">
        <x:v>buck</x:v>
      </x:c>
      <x:c r="H8" s="15" t="n">
        <x:v>0.85</x:v>
      </x:c>
      <x:c r="I8" s="25" t="n">
        <x:v>0.000025</x:v>
      </x:c>
      <x:c r="J8" s="16" t="n">
        <x:f>SUMIFS('Нагрузки'!$D$6:$D$37,'Нагрузки'!$A$6:$A$37,A8)</x:f>
        <x:v>0.02</x:v>
      </x:c>
      <x:c r="K8" s="16" t="n">
        <x:f>SUMIFS('Нагрузки'!$E$6:$E$37,'Нагрузки'!$A$6:$A$37,A8)</x:f>
        <x:v>0.05</x:v>
      </x:c>
      <x:c r="L8" s="16" t="n">
        <x:f>0</x:f>
        <x:v>0</x:v>
      </x:c>
      <x:c r="M8" s="16" t="n">
        <x:f>0</x:f>
        <x:v>0</x:v>
      </x:c>
      <x:c r="N8" s="16" t="n">
        <x:f>J8+L8</x:f>
        <x:v>0.02</x:v>
      </x:c>
      <x:c r="O8" s="16" t="n">
        <x:f>K8+M8</x:f>
        <x:v>0.05</x:v>
      </x:c>
      <x:c r="P8" s="16" t="n">
        <x:f>ABS(D8)*N8/('Вход'!$C$6*H8)+I8</x:f>
        <x:v>0.004926960784313726</x:v>
      </x:c>
      <x:c r="Q8" s="16" t="n">
        <x:f>ABS(D8)*O8/('Вход'!$C$6*H8)+I8</x:f>
        <x:v>0.012279901960784316</x:v>
      </x:c>
      <x:c r="R8" s="16" t="n">
        <x:f>ABS(D8)*O8</x:f>
        <x:v>0.25</x:v>
      </x:c>
      <x:c r="S8" s="16" t="n">
        <x:f>E8-O8</x:f>
        <x:v>0.95</x:v>
      </x:c>
      <x:c r="T8" s="16" t="n">
        <x:v>4.75</x:v>
      </x:c>
      <x:c r="U8" s="16" t="n">
        <x:v>5.25</x:v>
      </x:c>
      <x:c r="V8" s="12" t="str">
        <x:v>D11: проектное окно</x:v>
      </x:c>
      <x:c r="W8" s="12" t="str">
        <x:v>https://www.ti.com/product/LMR51610</x:v>
      </x:c>
      <x:c r="X8" s="12" t="str">
        <x:v>Power</x:v>
      </x:c>
      <x:c r="Y8" s="23" t="n">
        <x:f>'Вход'!$C$6*Q8-R8</x:f>
        <x:v>0.044717647058823584</x:v>
      </x:c>
    </x:row>
    <x:row r="9" ht="47" customHeight="1">
      <x:c r="A9" s="2" t="str">
        <x:v>FPGA5V5</x:v>
      </x:c>
      <x:c r="B9" s="2" t="str">
        <x:v>BUS24</x:v>
      </x:c>
      <x:c r="C9" s="2" t="str">
        <x:v>U801 LM76005</x:v>
      </x:c>
      <x:c r="D9" s="17" t="n">
        <x:v>5.524886877828054</x:v>
      </x:c>
      <x:c r="E9" s="17" t="n">
        <x:v>5</x:v>
      </x:c>
      <x:c r="F9" s="17" t="n">
        <x:v>0.01</x:v>
      </x:c>
      <x:c r="G9" s="17" t="str">
        <x:v>buck</x:v>
      </x:c>
      <x:c r="H9" s="15" t="n">
        <x:v>0.9</x:v>
      </x:c>
      <x:c r="I9" s="25" t="n">
        <x:v>0.000015</x:v>
      </x:c>
      <x:c r="J9" s="17" t="n">
        <x:f>SUMIFS('Нагрузки'!$D$6:$D$37,'Нагрузки'!$A$6:$A$37,A9)</x:f>
        <x:v>0</x:v>
      </x:c>
      <x:c r="K9" s="17" t="n">
        <x:f>SUMIFS('Нагрузки'!$E$6:$E$37,'Нагрузки'!$A$6:$A$37,A9)</x:f>
        <x:v>0</x:v>
      </x:c>
      <x:c r="L9" s="17" t="n">
        <x:f>P10+P11+P12+P13+P14+P15</x:f>
        <x:v>1.0780293201543267</x:v>
      </x:c>
      <x:c r="M9" s="17" t="n">
        <x:f>Q10+Q11+Q12+Q13+Q14+Q15</x:f>
        <x:v>2.0828616247931384</x:v>
      </x:c>
      <x:c r="N9" s="17" t="n">
        <x:f>J9+L9</x:f>
        <x:v>1.0780293201543267</x:v>
      </x:c>
      <x:c r="O9" s="17" t="n">
        <x:f>K9+M9</x:f>
        <x:v>2.0828616247931384</x:v>
      </x:c>
      <x:c r="P9" s="17" t="n">
        <x:f>ABS(D9)*N9/('Вход'!$C$6*H9)+I9</x:f>
        <x:v>0.2757552798534508</x:v>
      </x:c>
      <x:c r="Q9" s="17" t="n">
        <x:f>ABS(D9)*O9/('Вход'!$C$6*H9)+I9</x:f>
        <x:v>0.5327730953310754</x:v>
      </x:c>
      <x:c r="R9" s="17" t="n">
        <x:f>ABS(D9)*O9</x:f>
        <x:v>11.50757485915123</x:v>
      </x:c>
      <x:c r="S9" s="17" t="n">
        <x:f>E9-O9</x:f>
        <x:v>2.9171383752068616</x:v>
      </x:c>
      <x:c r="T9" s="17" t="n">
        <x:v>4.5</x:v>
      </x:c>
      <x:c r="U9" s="17" t="n">
        <x:v>6</x:v>
      </x:c>
      <x:c r="V9" s="13" t="str">
        <x:v>4,5 В — минимум TPS568215; верх 6 В — проектный</x:v>
      </x:c>
      <x:c r="W9" s="13" t="str">
        <x:v>https://www.ti.com/product/LM76005</x:v>
      </x:c>
      <x:c r="X9" s="13" t="str">
        <x:v>Power</x:v>
      </x:c>
      <x:c r="Y9" s="23" t="n">
        <x:f>'Вход'!$C$6*Q9-R9</x:f>
        <x:v>1.27897942879458</x:v>
      </x:c>
    </x:row>
    <x:row r="10" ht="47" customHeight="1">
      <x:c r="A10" s="9" t="str">
        <x:v>CORE1V0</x:v>
      </x:c>
      <x:c r="B10" s="9" t="str">
        <x:v>FPGA5V5</x:v>
      </x:c>
      <x:c r="C10" s="9" t="str">
        <x:v>U1201 TPS568215</x:v>
      </x:c>
      <x:c r="D10" s="16" t="n">
        <x:v>1.008</x:v>
      </x:c>
      <x:c r="E10" s="16" t="n">
        <x:v>8</x:v>
      </x:c>
      <x:c r="F10" s="16" t="n">
        <x:v>0.002</x:v>
      </x:c>
      <x:c r="G10" s="16" t="str">
        <x:v>buck</x:v>
      </x:c>
      <x:c r="H10" s="15" t="n">
        <x:v>0.88</x:v>
      </x:c>
      <x:c r="I10" s="25" t="n">
        <x:v>0.0006</x:v>
      </x:c>
      <x:c r="J10" s="16" t="n">
        <x:f>SUMIFS('Нагрузки'!$D$6:$D$37,'Нагрузки'!$A$6:$A$37,A10)</x:f>
        <x:v>2</x:v>
      </x:c>
      <x:c r="K10" s="16" t="n">
        <x:f>SUMIFS('Нагрузки'!$E$6:$E$37,'Нагрузки'!$A$6:$A$37,A10)</x:f>
        <x:v>4</x:v>
      </x:c>
      <x:c r="L10" s="16" t="n">
        <x:f>0</x:f>
        <x:v>0</x:v>
      </x:c>
      <x:c r="M10" s="16" t="n">
        <x:f>0</x:f>
        <x:v>0</x:v>
      </x:c>
      <x:c r="N10" s="16" t="n">
        <x:f>J10+L10</x:f>
        <x:v>2</x:v>
      </x:c>
      <x:c r="O10" s="16" t="n">
        <x:f>K10+M10</x:f>
        <x:v>4</x:v>
      </x:c>
      <x:c r="P10" s="16" t="n">
        <x:f>ABS(D10)*N10/(ABS(D9)*H10)+I10</x:f>
        <x:v>0.41525266919812376</x:v>
      </x:c>
      <x:c r="Q10" s="16" t="n">
        <x:f>ABS(D10)*O10/(ABS(D9)*H10)+I10</x:f>
        <x:v>0.8299053383962476</x:v>
      </x:c>
      <x:c r="R10" s="16" t="n">
        <x:f>ABS(D10)*O10</x:f>
        <x:v>4.032</x:v>
      </x:c>
      <x:c r="S10" s="16" t="n">
        <x:f>E10-O10</x:f>
        <x:v>4</x:v>
      </x:c>
      <x:c r="T10" s="16" t="n">
        <x:v>0.95</x:v>
      </x:c>
      <x:c r="U10" s="16" t="n">
        <x:v>1.05</x:v>
      </x:c>
      <x:c r="V10" s="12" t="str">
        <x:v>AMD DS181, -2, VCCINT/VCCBRAM</x:v>
      </x:c>
      <x:c r="W10" s="12" t="str">
        <x:v>https://www.ti.com/product/TPS568215</x:v>
      </x:c>
      <x:c r="X10" s="12" t="str">
        <x:v>Power</x:v>
      </x:c>
      <x:c r="Y10" s="23" t="n">
        <x:f>ABS(D9)*Q10-R10</x:f>
        <x:v>0.5531331139448792</x:v>
      </x:c>
    </x:row>
    <x:row r="11" ht="47" customHeight="1">
      <x:c r="A11" s="2" t="str">
        <x:v>AUX1V8</x:v>
      </x:c>
      <x:c r="B11" s="2" t="str">
        <x:v>FPGA5V5</x:v>
      </x:c>
      <x:c r="C11" s="2" t="str">
        <x:v>U1301 TPS62130A</x:v>
      </x:c>
      <x:c r="D11" s="17" t="n">
        <x:v>1.8</x:v>
      </x:c>
      <x:c r="E11" s="17" t="n">
        <x:v>3</x:v>
      </x:c>
      <x:c r="F11" s="17" t="n">
        <x:v>0.02</x:v>
      </x:c>
      <x:c r="G11" s="17" t="str">
        <x:v>buck</x:v>
      </x:c>
      <x:c r="H11" s="15" t="n">
        <x:v>0.88</x:v>
      </x:c>
      <x:c r="I11" s="25" t="n">
        <x:v>0.000017</x:v>
      </x:c>
      <x:c r="J11" s="17" t="n">
        <x:f>SUMIFS('Нагрузки'!$D$6:$D$37,'Нагрузки'!$A$6:$A$37,A11)</x:f>
        <x:v>0.15</x:v>
      </x:c>
      <x:c r="K11" s="17" t="n">
        <x:f>SUMIFS('Нагрузки'!$E$6:$E$37,'Нагрузки'!$A$6:$A$37,A11)</x:f>
        <x:v>0.3</x:v>
      </x:c>
      <x:c r="L11" s="17" t="n">
        <x:f>0</x:f>
        <x:v>0</x:v>
      </x:c>
      <x:c r="M11" s="17" t="n">
        <x:f>0</x:f>
        <x:v>0</x:v>
      </x:c>
      <x:c r="N11" s="17" t="n">
        <x:f>J11+L11</x:f>
        <x:v>0.15</x:v>
      </x:c>
      <x:c r="O11" s="17" t="n">
        <x:f>K11+M11</x:f>
        <x:v>0.3</x:v>
      </x:c>
      <x:c r="P11" s="17" t="n">
        <x:f>ABS(D11)*N11/(ABS(D9)*H11)+I11</x:f>
        <x:v>0.05555083962474872</x:v>
      </x:c>
      <x:c r="Q11" s="17" t="n">
        <x:f>ABS(D11)*O11/(ABS(D9)*H11)+I11</x:f>
        <x:v>0.11108467924949744</x:v>
      </x:c>
      <x:c r="R11" s="17" t="n">
        <x:f>ABS(D11)*O11</x:f>
        <x:v>0.54</x:v>
      </x:c>
      <x:c r="S11" s="17" t="n">
        <x:f>E11-O11</x:f>
        <x:v>2.7</x:v>
      </x:c>
      <x:c r="T11" s="17" t="n">
        <x:v>1.71</x:v>
      </x:c>
      <x:c r="U11" s="17" t="n">
        <x:v>1.89</x:v>
      </x:c>
      <x:c r="V11" s="13" t="str">
        <x:v>AMD DS181 VCCAUX/VCCADC</x:v>
      </x:c>
      <x:c r="W11" s="13" t="str">
        <x:v>https://www.ti.com/product/TPS62130A</x:v>
      </x:c>
      <x:c r="X11" s="13" t="str">
        <x:v>Power</x:v>
      </x:c>
      <x:c r="Y11" s="23" t="n">
        <x:f>ABS(D9)*Q11-R11</x:f>
        <x:v>0.07373028671328674</x:v>
      </x:c>
    </x:row>
    <x:row r="12" ht="47" customHeight="1">
      <x:c r="A12" s="9" t="str">
        <x:v>AUX2V5</x:v>
      </x:c>
      <x:c r="B12" s="9" t="str">
        <x:v>FPGA5V5</x:v>
      </x:c>
      <x:c r="C12" s="9" t="str">
        <x:v>U1401 TPS62130A</x:v>
      </x:c>
      <x:c r="D12" s="16" t="n">
        <x:v>2.5</x:v>
      </x:c>
      <x:c r="E12" s="16" t="n">
        <x:v>3</x:v>
      </x:c>
      <x:c r="F12" s="16" t="n">
        <x:v>0.02</x:v>
      </x:c>
      <x:c r="G12" s="16" t="str">
        <x:v>buck</x:v>
      </x:c>
      <x:c r="H12" s="15" t="n">
        <x:v>0.88</x:v>
      </x:c>
      <x:c r="I12" s="25" t="n">
        <x:v>0.000017</x:v>
      </x:c>
      <x:c r="J12" s="16" t="n">
        <x:f>SUMIFS('Нагрузки'!$D$6:$D$37,'Нагрузки'!$A$6:$A$37,A12)</x:f>
        <x:v>0</x:v>
      </x:c>
      <x:c r="K12" s="16" t="n">
        <x:f>SUMIFS('Нагрузки'!$E$6:$E$37,'Нагрузки'!$A$6:$A$37,A12)</x:f>
        <x:v>0</x:v>
      </x:c>
      <x:c r="L12" s="16" t="n">
        <x:f>0</x:f>
        <x:v>0</x:v>
      </x:c>
      <x:c r="M12" s="16" t="n">
        <x:f>0</x:f>
        <x:v>0</x:v>
      </x:c>
      <x:c r="N12" s="16" t="n">
        <x:f>J12+L12</x:f>
        <x:v>0</x:v>
      </x:c>
      <x:c r="O12" s="16" t="n">
        <x:f>K12+M12</x:f>
        <x:v>0</x:v>
      </x:c>
      <x:c r="P12" s="16" t="n">
        <x:f>ABS(D12)*N12/(ABS(D9)*H12)+I12</x:f>
        <x:v>0.000017</x:v>
      </x:c>
      <x:c r="Q12" s="16" t="n">
        <x:f>ABS(D12)*O12/(ABS(D9)*H12)+I12</x:f>
        <x:v>0.000017</x:v>
      </x:c>
      <x:c r="R12" s="16" t="n">
        <x:f>ABS(D12)*O12</x:f>
        <x:v>0</x:v>
      </x:c>
      <x:c r="S12" s="16" t="n">
        <x:f>E12-O12</x:f>
        <x:v>3</x:v>
      </x:c>
      <x:c r="T12" s="16" t="n">
        <x:v>2.375</x:v>
      </x:c>
      <x:c r="U12" s="16" t="n">
        <x:v>2.625</x:v>
      </x:c>
      <x:c r="V12" s="12" t="str">
        <x:v>D11: окно для резерва; потребитель не назначен</x:v>
      </x:c>
      <x:c r="W12" s="12" t="str">
        <x:v>https://www.ti.com/product/TPS62130A</x:v>
      </x:c>
      <x:c r="X12" s="12" t="str">
        <x:v>Power</x:v>
      </x:c>
      <x:c r="Y12" s="23" t="n">
        <x:f>ABS(D9)*Q12-R12</x:f>
        <x:v>0.00009392307692307692</x:v>
      </x:c>
    </x:row>
    <x:row r="13" ht="47" customHeight="1">
      <x:c r="A13" s="2" t="str">
        <x:v>IO3V3</x:v>
      </x:c>
      <x:c r="B13" s="2" t="str">
        <x:v>FPGA5V5</x:v>
      </x:c>
      <x:c r="C13" s="2" t="str">
        <x:v>U1501 TPS62130A</x:v>
      </x:c>
      <x:c r="D13" s="17" t="n">
        <x:v>3.295</x:v>
      </x:c>
      <x:c r="E13" s="17" t="n">
        <x:v>3</x:v>
      </x:c>
      <x:c r="F13" s="17" t="n">
        <x:v>0.02</x:v>
      </x:c>
      <x:c r="G13" s="17" t="str">
        <x:v>buck</x:v>
      </x:c>
      <x:c r="H13" s="15" t="n">
        <x:v>0.9</x:v>
      </x:c>
      <x:c r="I13" s="25" t="n">
        <x:v>0.000017</x:v>
      </x:c>
      <x:c r="J13" s="17" t="n">
        <x:f>SUMIFS('Нагрузки'!$D$6:$D$37,'Нагрузки'!$A$6:$A$37,A13)</x:f>
        <x:v>0.51</x:v>
      </x:c>
      <x:c r="K13" s="17" t="n">
        <x:f>SUMIFS('Нагрузки'!$E$6:$E$37,'Нагрузки'!$A$6:$A$37,A13)</x:f>
        <x:v>0.9899999999999999</x:v>
      </x:c>
      <x:c r="L13" s="17" t="n">
        <x:f>P25</x:f>
        <x:v>0.13703</x:v>
      </x:c>
      <x:c r="M13" s="17" t="n">
        <x:f>Q25</x:f>
        <x:v>0.20003</x:v>
      </x:c>
      <x:c r="N13" s="17" t="n">
        <x:f>J13+L13</x:f>
        <x:v>0.64703</x:v>
      </x:c>
      <x:c r="O13" s="17" t="n">
        <x:f>K13+M13</x:f>
        <x:v>1.19003</x:v>
      </x:c>
      <x:c r="P13" s="17" t="n">
        <x:f>ABS(D13)*N13/(ABS(D9)*H13)+I13</x:f>
        <x:v>0.4287766786331786</x:v>
      </x:c>
      <x:c r="Q13" s="17" t="n">
        <x:f>ABS(D13)*O13/(ABS(D9)*H13)+I13</x:f>
        <x:v>0.7886000338065338</x:v>
      </x:c>
      <x:c r="R13" s="17" t="n">
        <x:f>ABS(D13)*O13</x:f>
        <x:v>3.92114885</x:v>
      </x:c>
      <x:c r="S13" s="17" t="n">
        <x:f>E13-O13</x:f>
        <x:v>1.80997</x:v>
      </x:c>
      <x:c r="T13" s="17" t="n">
        <x:v>3.15</x:v>
      </x:c>
      <x:c r="U13" s="17" t="n">
        <x:v>3.45</x:v>
      </x:c>
      <x:c r="V13" s="13" t="str">
        <x:v>TI DP83867 VDDIO 3,3 В; остальные потребители проверить</x:v>
      </x:c>
      <x:c r="W13" s="13" t="str">
        <x:v>https://www.ti.com/product/TPS62130A</x:v>
      </x:c>
      <x:c r="X13" s="13" t="str">
        <x:v>Power</x:v>
      </x:c>
      <x:c r="Y13" s="23" t="n">
        <x:f>ABS(D9)*Q13-R13</x:f>
        <x:v>0.43577712863247875</x:v>
      </x:c>
    </x:row>
    <x:row r="14" ht="47" customHeight="1">
      <x:c r="A14" s="9" t="str">
        <x:v>DDR1V35</x:v>
      </x:c>
      <x:c r="B14" s="9" t="str">
        <x:v>FPGA5V5</x:v>
      </x:c>
      <x:c r="C14" s="9" t="str">
        <x:v>U1601 TPS62130A</x:v>
      </x:c>
      <x:c r="D14" s="16" t="n">
        <x:v>1.35</x:v>
      </x:c>
      <x:c r="E14" s="16" t="n">
        <x:v>3</x:v>
      </x:c>
      <x:c r="F14" s="16" t="n">
        <x:v>0.01</x:v>
      </x:c>
      <x:c r="G14" s="16" t="str">
        <x:v>buck</x:v>
      </x:c>
      <x:c r="H14" s="15" t="n">
        <x:v>0.88</x:v>
      </x:c>
      <x:c r="I14" s="25" t="n">
        <x:v>0.000017</x:v>
      </x:c>
      <x:c r="J14" s="16" t="n">
        <x:f>SUMIFS('Нагрузки'!$D$6:$D$37,'Нагрузки'!$A$6:$A$37,A14)</x:f>
        <x:v>0.4</x:v>
      </x:c>
      <x:c r="K14" s="16" t="n">
        <x:f>SUMIFS('Нагрузки'!$E$6:$E$37,'Нагрузки'!$A$6:$A$37,A14)</x:f>
        <x:v>0.8</x:v>
      </x:c>
      <x:c r="L14" s="16" t="n">
        <x:f>P16</x:f>
        <x:v>0.15556112224448898</x:v>
      </x:c>
      <x:c r="M14" s="16" t="n">
        <x:f>Q16</x:f>
        <x:v>0.31112224448897796</x:v>
      </x:c>
      <x:c r="N14" s="16" t="n">
        <x:f>J14+L14</x:f>
        <x:v>0.555561122244489</x:v>
      </x:c>
      <x:c r="O14" s="16" t="n">
        <x:f>K14+M14</x:f>
        <x:v>1.111122244488978</x:v>
      </x:c>
      <x:c r="P14" s="16" t="n">
        <x:f>ABS(D14)*N14/(ABS(D9)*H14)+I14</x:f>
        <x:v>0.15427921132235434</x:v>
      </x:c>
      <x:c r="Q14" s="16" t="n">
        <x:f>ABS(D14)*O14/(ABS(D9)*H14)+I14</x:f>
        <x:v>0.3085414226447087</x:v>
      </x:c>
      <x:c r="R14" s="16" t="n">
        <x:f>ABS(D14)*O14</x:f>
        <x:v>1.5000150300601203</x:v>
      </x:c>
      <x:c r="S14" s="16" t="n">
        <x:f>E14-O14</x:f>
        <x:v>1.888877755511022</x:v>
      </x:c>
      <x:c r="T14" s="16" t="n">
        <x:v>1.2825</x:v>
      </x:c>
      <x:c r="U14" s="16" t="n">
        <x:v>1.4175</x:v>
      </x:c>
      <x:c r="V14" s="12" t="str">
        <x:v>AMD DS181 ±5%; полную проверку Micron дополнить</x:v>
      </x:c>
      <x:c r="W14" s="12" t="str">
        <x:v>https://www.ti.com/product/TPS62130A</x:v>
      </x:c>
      <x:c r="X14" s="12" t="str">
        <x:v>Power</x:v>
      </x:c>
      <x:c r="Y14" s="23" t="n">
        <x:f>ABS(D9)*Q14-R14</x:f>
        <x:v>0.2046414271760304</x:v>
      </x:c>
    </x:row>
    <x:row r="15" ht="47" customHeight="1">
      <x:c r="A15" s="2" t="str">
        <x:v>PHY1V05</x:v>
      </x:c>
      <x:c r="B15" s="2" t="str">
        <x:v>FPGA5V5</x:v>
      </x:c>
      <x:c r="C15" s="2" t="str">
        <x:v>U1701 TPS62130A</x:v>
      </x:c>
      <x:c r="D15" s="17" t="n">
        <x:v>1.0495</x:v>
      </x:c>
      <x:c r="E15" s="17" t="n">
        <x:v>3</x:v>
      </x:c>
      <x:c r="F15" s="17" t="n">
        <x:v>0.02</x:v>
      </x:c>
      <x:c r="G15" s="17" t="str">
        <x:v>buck</x:v>
      </x:c>
      <x:c r="H15" s="15" t="n">
        <x:v>0.85</x:v>
      </x:c>
      <x:c r="I15" s="25" t="n">
        <x:v>0.000017</x:v>
      </x:c>
      <x:c r="J15" s="17" t="n">
        <x:f>SUMIFS('Нагрузки'!$D$6:$D$37,'Нагрузки'!$A$6:$A$37,A15)</x:f>
        <x:v>0.108</x:v>
      </x:c>
      <x:c r="K15" s="17" t="n">
        <x:f>SUMIFS('Нагрузки'!$E$6:$E$37,'Нагрузки'!$A$6:$A$37,A15)</x:f>
        <x:v>0.2</x:v>
      </x:c>
      <x:c r="L15" s="17" t="n">
        <x:f>0</x:f>
        <x:v>0</x:v>
      </x:c>
      <x:c r="M15" s="17" t="n">
        <x:f>0</x:f>
        <x:v>0</x:v>
      </x:c>
      <x:c r="N15" s="17" t="n">
        <x:f>J15+L15</x:f>
        <x:v>0.108</x:v>
      </x:c>
      <x:c r="O15" s="17" t="n">
        <x:f>K15+M15</x:f>
        <x:v>0.2</x:v>
      </x:c>
      <x:c r="P15" s="17" t="n">
        <x:f>ABS(D15)*N15/(ABS(D9)*H15)+I15</x:f>
        <x:v>0.024152921375921378</x:v>
      </x:c>
      <x:c r="Q15" s="17" t="n">
        <x:f>ABS(D15)*O15/(ABS(D9)*H15)+I15</x:f>
        <x:v>0.04471315069615071</x:v>
      </x:c>
      <x:c r="R15" s="17" t="n">
        <x:f>ABS(D15)*O15</x:f>
        <x:v>0.20990000000000003</x:v>
      </x:c>
      <x:c r="S15" s="17" t="n">
        <x:f>E15-O15</x:f>
        <x:v>2.8</x:v>
      </x:c>
      <x:c r="T15" s="17" t="n">
        <x:v>0.95</x:v>
      </x:c>
      <x:c r="U15" s="17" t="n">
        <x:v>1.155</x:v>
      </x:c>
      <x:c r="V15" s="13" t="str">
        <x:v>TI DP83867IR RGZ, table 6.3</x:v>
      </x:c>
      <x:c r="W15" s="13" t="str">
        <x:v>https://www.ti.com/product/TPS62130A</x:v>
      </x:c>
      <x:c r="X15" s="13" t="str">
        <x:v>Power</x:v>
      </x:c>
      <x:c r="Y15" s="23" t="n">
        <x:f>ABS(D9)*Q15-R15</x:f>
        <x:v>0.03713509954751135</x:v>
      </x:c>
    </x:row>
    <x:row r="16" ht="47" customHeight="1">
      <x:c r="A16" s="9" t="str">
        <x:v>VTT</x:v>
      </x:c>
      <x:c r="B16" s="9" t="str">
        <x:v>DDR1V35</x:v>
      </x:c>
      <x:c r="C16" s="9" t="str">
        <x:v>U1801 TPS51200 VO</x:v>
      </x:c>
      <x:c r="D16" s="16" t="n">
        <x:v>0.675</x:v>
      </x:c>
      <x:c r="E16" s="16" t="n">
        <x:v>3</x:v>
      </x:c>
      <x:c r="F16" s="16" t="n">
        <x:v>0</x:v>
      </x:c>
      <x:c r="G16" s="16" t="str">
        <x:v>linear</x:v>
      </x:c>
      <x:c r="H16" s="15" t="n">
        <x:v>0.5</x:v>
      </x:c>
      <x:c r="I16" s="25" t="n">
        <x:v>0</x:v>
      </x:c>
      <x:c r="J16" s="16" t="n">
        <x:f>SUMIFS('Нагрузки'!$D$6:$D$37,'Нагрузки'!$A$6:$A$37,A16)</x:f>
        <x:v>0.15556112224448898</x:v>
      </x:c>
      <x:c r="K16" s="16" t="n">
        <x:f>SUMIFS('Нагрузки'!$E$6:$E$37,'Нагрузки'!$A$6:$A$37,A16)</x:f>
        <x:v>0.31112224448897796</x:v>
      </x:c>
      <x:c r="L16" s="16" t="n">
        <x:f>0</x:f>
        <x:v>0</x:v>
      </x:c>
      <x:c r="M16" s="16" t="n">
        <x:f>0</x:f>
        <x:v>0</x:v>
      </x:c>
      <x:c r="N16" s="16" t="n">
        <x:f>J16+L16</x:f>
        <x:v>0.15556112224448898</x:v>
      </x:c>
      <x:c r="O16" s="16" t="n">
        <x:f>K16+M16</x:f>
        <x:v>0.31112224448897796</x:v>
      </x:c>
      <x:c r="P16" s="16" t="n">
        <x:f>N16+I16</x:f>
        <x:v>0.15556112224448898</x:v>
      </x:c>
      <x:c r="Q16" s="16" t="n">
        <x:f>O16+I16</x:f>
        <x:v>0.31112224448897796</x:v>
      </x:c>
      <x:c r="R16" s="16" t="n">
        <x:f>ABS(D16)*O16</x:f>
        <x:v>0.21000751503006013</x:v>
      </x:c>
      <x:c r="S16" s="16" t="n">
        <x:f>E16-O16</x:f>
        <x:v>2.688877755511022</x:v>
      </x:c>
      <x:c r="T16" s="16"/>
      <x:c r="U16" s="16"/>
      <x:c r="V16" s="12" t="str">
        <x:v>Tracking DDR1V35/2; источник и сток; абсолютное окно не фиксируется</x:v>
      </x:c>
      <x:c r="W16" s="12" t="str">
        <x:v>https://www.ti.com/product/TPS51200</x:v>
      </x:c>
      <x:c r="X16" s="12" t="str">
        <x:v>Power</x:v>
      </x:c>
      <x:c r="Y16" s="23" t="n">
        <x:f>ABS(D14)*Q16-R16</x:f>
        <x:v>0.21000751503006013</x:v>
      </x:c>
    </x:row>
    <x:row r="17" ht="47" customHeight="1">
      <x:c r="A17" s="2" t="str">
        <x:v>DDR_VREF</x:v>
      </x:c>
      <x:c r="B17" s="2" t="str">
        <x:v>AON</x:v>
      </x:c>
      <x:c r="C17" s="2" t="str">
        <x:v>U1801 TPS51200 REFOUT</x:v>
      </x:c>
      <x:c r="D17" s="17" t="n">
        <x:v>0.675</x:v>
      </x:c>
      <x:c r="E17" s="17"/>
      <x:c r="F17" s="17" t="n">
        <x:v>0</x:v>
      </x:c>
      <x:c r="G17" s="17" t="str">
        <x:v>linear</x:v>
      </x:c>
      <x:c r="H17" s="15" t="n">
        <x:v>0.205</x:v>
      </x:c>
      <x:c r="I17" s="25" t="n">
        <x:v>0</x:v>
      </x:c>
      <x:c r="J17" s="17" t="n">
        <x:f>SUMIFS('Нагрузки'!$D$6:$D$37,'Нагрузки'!$A$6:$A$37,A17)</x:f>
        <x:v>0.0001</x:v>
      </x:c>
      <x:c r="K17" s="17" t="n">
        <x:f>SUMIFS('Нагрузки'!$E$6:$E$37,'Нагрузки'!$A$6:$A$37,A17)</x:f>
        <x:v>0.001</x:v>
      </x:c>
      <x:c r="L17" s="17" t="n">
        <x:f>0</x:f>
        <x:v>0</x:v>
      </x:c>
      <x:c r="M17" s="17" t="n">
        <x:f>0</x:f>
        <x:v>0</x:v>
      </x:c>
      <x:c r="N17" s="17" t="n">
        <x:f>J17+L17</x:f>
        <x:v>0.0001</x:v>
      </x:c>
      <x:c r="O17" s="17" t="n">
        <x:f>K17+M17</x:f>
        <x:v>0.001</x:v>
      </x:c>
      <x:c r="P17" s="17" t="n">
        <x:f>N17+I17</x:f>
        <x:v>0.0001</x:v>
      </x:c>
      <x:c r="Q17" s="17" t="n">
        <x:f>O17+I17</x:f>
        <x:v>0.001</x:v>
      </x:c>
      <x:c r="R17" s="17" t="n">
        <x:f>ABS(D17)*O17</x:f>
        <x:v>0.000675</x:v>
      </x:c>
      <x:c r="S17" s="17" t="str">
        <x:f>"не определён"</x:f>
        <x:v>не определён</x:v>
      </x:c>
      <x:c r="T17" s="17"/>
      <x:c r="U17" s="17"/>
      <x:c r="V17" s="13" t="str">
        <x:v>Опора DDR1V35/2; питание REFOUT от VIN; Iq учтён в AON</x:v>
      </x:c>
      <x:c r="W17" s="13" t="str">
        <x:v>https://www.ti.com/product/TPS51200</x:v>
      </x:c>
      <x:c r="X17" s="13" t="str">
        <x:v>Power</x:v>
      </x:c>
      <x:c r="Y17" s="23" t="n">
        <x:f>ABS(D6)*Q17-R17</x:f>
        <x:v>0.0026049999999999997</x:v>
      </x:c>
    </x:row>
    <x:row r="18" ht="47" customHeight="1">
      <x:c r="A18" s="9" t="str">
        <x:v>ANA6</x:v>
      </x:c>
      <x:c r="B18" s="9" t="str">
        <x:v>BUS24</x:v>
      </x:c>
      <x:c r="C18" s="9" t="str">
        <x:v>U901 LMR51610</x:v>
      </x:c>
      <x:c r="D18" s="16" t="n">
        <x:v>6</x:v>
      </x:c>
      <x:c r="E18" s="16" t="n">
        <x:v>1</x:v>
      </x:c>
      <x:c r="F18" s="16" t="n">
        <x:v>0.05</x:v>
      </x:c>
      <x:c r="G18" s="16" t="str">
        <x:v>buck</x:v>
      </x:c>
      <x:c r="H18" s="15" t="n">
        <x:v>0.85</x:v>
      </x:c>
      <x:c r="I18" s="25" t="n">
        <x:v>0.000025</x:v>
      </x:c>
      <x:c r="J18" s="16" t="n">
        <x:f>SUMIFS('Нагрузки'!$D$6:$D$37,'Нагрузки'!$A$6:$A$37,A18)</x:f>
        <x:v>0</x:v>
      </x:c>
      <x:c r="K18" s="16" t="n">
        <x:f>SUMIFS('Нагрузки'!$E$6:$E$37,'Нагрузки'!$A$6:$A$37,A18)</x:f>
        <x:v>0</x:v>
      </x:c>
      <x:c r="L18" s="16" t="n">
        <x:f>P19</x:f>
        <x:v>0.10983</x:v>
      </x:c>
      <x:c r="M18" s="16" t="n">
        <x:f>Q19</x:f>
        <x:v>0.21083</x:v>
      </x:c>
      <x:c r="N18" s="16" t="n">
        <x:f>J18+L18</x:f>
        <x:v>0.10983</x:v>
      </x:c>
      <x:c r="O18" s="16" t="n">
        <x:f>K18+M18</x:f>
        <x:v>0.21083</x:v>
      </x:c>
      <x:c r="P18" s="16" t="n">
        <x:f>ABS(D18)*N18/('Вход'!$C$6*H18)+I18</x:f>
        <x:v>0.03232794117647059</x:v>
      </x:c>
      <x:c r="Q18" s="16" t="n">
        <x:f>ABS(D18)*O18/('Вход'!$C$6*H18)+I18</x:f>
        <x:v>0.062033823529411766</x:v>
      </x:c>
      <x:c r="R18" s="16" t="n">
        <x:f>ABS(D18)*O18</x:f>
        <x:v>1.26498</x:v>
      </x:c>
      <x:c r="S18" s="16" t="n">
        <x:f>E18-O18</x:f>
        <x:v>0.78917</x:v>
      </x:c>
      <x:c r="T18" s="16" t="n">
        <x:v>5.5</x:v>
      </x:c>
      <x:c r="U18" s="16" t="n">
        <x:v>6.3</x:v>
      </x:c>
      <x:c r="V18" s="12" t="str">
        <x:v>D11: проектное окно перед LDO</x:v>
      </x:c>
      <x:c r="W18" s="12" t="str">
        <x:v>https://www.ti.com/product/LMR51610</x:v>
      </x:c>
      <x:c r="X18" s="12" t="str">
        <x:v>Power</x:v>
      </x:c>
      <x:c r="Y18" s="23" t="n">
        <x:f>'Вход'!$C$6*Q18-R18</x:f>
        <x:v>0.22383176470588229</x:v>
      </x:c>
    </x:row>
    <x:row r="19" ht="47" customHeight="1">
      <x:c r="A19" s="2" t="str">
        <x:v>ANA5</x:v>
      </x:c>
      <x:c r="B19" s="2" t="str">
        <x:v>ANA6</x:v>
      </x:c>
      <x:c r="C19" s="2" t="str">
        <x:v>U1901 TPS7A9101</x:v>
      </x:c>
      <x:c r="D19" s="17" t="n">
        <x:v>5</x:v>
      </x:c>
      <x:c r="E19" s="17" t="n">
        <x:v>1</x:v>
      </x:c>
      <x:c r="F19" s="17" t="n">
        <x:v>0.05</x:v>
      </x:c>
      <x:c r="G19" s="17" t="str">
        <x:v>linear</x:v>
      </x:c>
      <x:c r="H19" s="15" t="n">
        <x:v>0.8333333333333334</x:v>
      </x:c>
      <x:c r="I19" s="25" t="n">
        <x:v>0.0044</x:v>
      </x:c>
      <x:c r="J19" s="17" t="n">
        <x:f>SUMIFS('Нагрузки'!$D$6:$D$37,'Нагрузки'!$A$6:$A$37,A19)</x:f>
        <x:v>0.08</x:v>
      </x:c>
      <x:c r="K19" s="17" t="n">
        <x:f>SUMIFS('Нагрузки'!$E$6:$E$37,'Нагрузки'!$A$6:$A$37,A19)</x:f>
        <x:v>0.15</x:v>
      </x:c>
      <x:c r="L19" s="17" t="n">
        <x:f>P20</x:f>
        <x:v>0.02543</x:v>
      </x:c>
      <x:c r="M19" s="17" t="n">
        <x:f>Q20</x:f>
        <x:v>0.05643000000000001</x:v>
      </x:c>
      <x:c r="N19" s="17" t="n">
        <x:f>J19+L19</x:f>
        <x:v>0.10543</x:v>
      </x:c>
      <x:c r="O19" s="17" t="n">
        <x:f>K19+M19</x:f>
        <x:v>0.20643</x:v>
      </x:c>
      <x:c r="P19" s="17" t="n">
        <x:f>N19+I19</x:f>
        <x:v>0.10983</x:v>
      </x:c>
      <x:c r="Q19" s="17" t="n">
        <x:f>O19+I19</x:f>
        <x:v>0.21083</x:v>
      </x:c>
      <x:c r="R19" s="17" t="n">
        <x:f>ABS(D19)*O19</x:f>
        <x:v>1.0321500000000001</x:v>
      </x:c>
      <x:c r="S19" s="17" t="n">
        <x:f>E19-O19</x:f>
        <x:v>0.79357</x:v>
      </x:c>
      <x:c r="T19" s="17" t="n">
        <x:v>4.75</x:v>
      </x:c>
      <x:c r="U19" s="17" t="n">
        <x:v>5.25</x:v>
      </x:c>
      <x:c r="V19" s="13" t="str">
        <x:v>D11: предварительное окно, проверить точность и headroom</x:v>
      </x:c>
      <x:c r="W19" s="13" t="str">
        <x:v>https://www.ti.com/product/TPS7A91</x:v>
      </x:c>
      <x:c r="X19" s="13" t="str">
        <x:v>Power</x:v>
      </x:c>
      <x:c r="Y19" s="23" t="n">
        <x:f>ABS(D18)*Q19-R19</x:f>
        <x:v>0.23282999999999987</x:v>
      </x:c>
    </x:row>
    <x:row r="20" ht="47" customHeight="1">
      <x:c r="A20" s="9" t="str">
        <x:v>ANA3V3</x:v>
      </x:c>
      <x:c r="B20" s="9" t="str">
        <x:v>ANA5</x:v>
      </x:c>
      <x:c r="C20" s="9" t="str">
        <x:v>U2001 TPS7A9101</x:v>
      </x:c>
      <x:c r="D20" s="16" t="n">
        <x:v>3.295</x:v>
      </x:c>
      <x:c r="E20" s="16" t="n">
        <x:v>1</x:v>
      </x:c>
      <x:c r="F20" s="16" t="n">
        <x:v>0.05</x:v>
      </x:c>
      <x:c r="G20" s="16" t="str">
        <x:v>linear</x:v>
      </x:c>
      <x:c r="H20" s="15" t="n">
        <x:v>0.659</x:v>
      </x:c>
      <x:c r="I20" s="25" t="n">
        <x:v>0.0044</x:v>
      </x:c>
      <x:c r="J20" s="16" t="n">
        <x:f>SUMIFS('Нагрузки'!$D$6:$D$37,'Нагрузки'!$A$6:$A$37,A20)</x:f>
        <x:v>0.001</x:v>
      </x:c>
      <x:c r="K20" s="16" t="n">
        <x:f>SUMIFS('Нагрузки'!$E$6:$E$37,'Нагрузки'!$A$6:$A$37,A20)</x:f>
        <x:v>0.002</x:v>
      </x:c>
      <x:c r="L20" s="16" t="n">
        <x:f>P26</x:f>
        <x:v>0.02003</x:v>
      </x:c>
      <x:c r="M20" s="16" t="n">
        <x:f>Q26</x:f>
        <x:v>0.050030000000000005</x:v>
      </x:c>
      <x:c r="N20" s="16" t="n">
        <x:f>J20+L20</x:f>
        <x:v>0.02103</x:v>
      </x:c>
      <x:c r="O20" s="16" t="n">
        <x:f>K20+M20</x:f>
        <x:v>0.05203000000000001</x:v>
      </x:c>
      <x:c r="P20" s="16" t="n">
        <x:f>N20+I20</x:f>
        <x:v>0.02543</x:v>
      </x:c>
      <x:c r="Q20" s="16" t="n">
        <x:f>O20+I20</x:f>
        <x:v>0.05643000000000001</x:v>
      </x:c>
      <x:c r="R20" s="16" t="n">
        <x:f>ABS(D20)*O20</x:f>
        <x:v>0.17143885000000003</x:v>
      </x:c>
      <x:c r="S20" s="16" t="n">
        <x:f>E20-O20</x:f>
        <x:v>0.94797</x:v>
      </x:c>
      <x:c r="T20" s="16" t="n">
        <x:v>3.135</x:v>
      </x:c>
      <x:c r="U20" s="16" t="n">
        <x:v>3.465</x:v>
      </x:c>
      <x:c r="V20" s="12" t="str">
        <x:v>D11: проектное окно</x:v>
      </x:c>
      <x:c r="W20" s="12" t="str">
        <x:v>https://www.ti.com/product/TPS7A91</x:v>
      </x:c>
      <x:c r="X20" s="12" t="str">
        <x:v>Power</x:v>
      </x:c>
      <x:c r="Y20" s="23" t="n">
        <x:f>ABS(D19)*Q20-R20</x:f>
        <x:v>0.11071114999999998</x:v>
      </x:c>
    </x:row>
    <x:row r="21" ht="47" customHeight="1">
      <x:c r="A21" s="2" t="str">
        <x:v>P15</x:v>
      </x:c>
      <x:c r="B21" s="2" t="str">
        <x:v>BUS24</x:v>
      </x:c>
      <x:c r="C21" s="2" t="str">
        <x:v>U1001 LMR51610</x:v>
      </x:c>
      <x:c r="D21" s="17" t="n">
        <x:v>14.990045248868777</x:v>
      </x:c>
      <x:c r="E21" s="17" t="n">
        <x:v>1</x:v>
      </x:c>
      <x:c r="F21" s="17" t="n">
        <x:v>0.1</x:v>
      </x:c>
      <x:c r="G21" s="17" t="str">
        <x:v>buck</x:v>
      </x:c>
      <x:c r="H21" s="15" t="n">
        <x:v>0.85</x:v>
      </x:c>
      <x:c r="I21" s="25" t="n">
        <x:v>0.000025</x:v>
      </x:c>
      <x:c r="J21" s="17" t="n">
        <x:f>SUMIFS('Нагрузки'!$D$6:$D$37,'Нагрузки'!$A$6:$A$37,A21)</x:f>
        <x:v>0.105</x:v>
      </x:c>
      <x:c r="K21" s="17" t="n">
        <x:f>SUMIFS('Нагрузки'!$E$6:$E$37,'Нагрузки'!$A$6:$A$37,A21)</x:f>
        <x:v>0.30000000000000004</x:v>
      </x:c>
      <x:c r="L21" s="17" t="n">
        <x:f>P23+P27</x:f>
        <x:v>0.0231</x:v>
      </x:c>
      <x:c r="M21" s="17" t="n">
        <x:f>Q23+Q27</x:f>
        <x:v>0.0681</x:v>
      </x:c>
      <x:c r="N21" s="17" t="n">
        <x:f>J21+L21</x:f>
        <x:v>0.1281</x:v>
      </x:c>
      <x:c r="O21" s="17" t="n">
        <x:f>K21+M21</x:f>
        <x:v>0.36810000000000004</x:v>
      </x:c>
      <x:c r="P21" s="17" t="n">
        <x:f>ABS(D21)*N21/('Вход'!$C$6*H21)+I21</x:f>
        <x:v>0.09415366648922012</x:v>
      </x:c>
      <x:c r="Q21" s="17" t="n">
        <x:f>ABS(D21)*O21/('Вход'!$C$6*H21)+I21</x:f>
        <x:v>0.27050714000532344</x:v>
      </x:c>
      <x:c r="R21" s="17" t="n">
        <x:f>ABS(D21)*O21</x:f>
        <x:v>5.5178356561085975</x:v>
      </x:c>
      <x:c r="S21" s="17" t="n">
        <x:f>E21-O21</x:f>
        <x:v>0.6318999999999999</x:v>
      </x:c>
      <x:c r="T21" s="17" t="n">
        <x:v>14.25</x:v>
      </x:c>
      <x:c r="U21" s="17" t="n">
        <x:v>15.75</x:v>
      </x:c>
      <x:c r="V21" s="13" t="str">
        <x:v>D11: проектное окно; запас аналоговых выходов ещё проверить</x:v>
      </x:c>
      <x:c r="W21" s="13" t="str">
        <x:v>https://www.ti.com/product/LMR51610</x:v>
      </x:c>
      <x:c r="X21" s="13" t="str">
        <x:v>Power</x:v>
      </x:c>
      <x:c r="Y21" s="23" t="n">
        <x:f>'Вход'!$C$6*Q21-R21</x:f>
        <x:v>0.9743357040191656</x:v>
      </x:c>
    </x:row>
    <x:row r="22" ht="47" customHeight="1">
      <x:c r="A22" s="9" t="str">
        <x:v>N15</x:v>
      </x:c>
      <x:c r="B22" s="9" t="str">
        <x:v>BUS24</x:v>
      </x:c>
      <x:c r="C22" s="9" t="str">
        <x:v>U1102 LMR51610, IBB</x:v>
      </x:c>
      <x:c r="D22" s="16" t="n">
        <x:v>-14.990045248868777</x:v>
      </x:c>
      <x:c r="E22" s="16" t="n">
        <x:f>1-ABS(D22)/(ABS(D22)+'Вход'!$C$7*H22)</x:f>
        <x:v>0.48996181795787663</x:v>
      </x:c>
      <x:c r="F22" s="16" t="n">
        <x:v>0.1</x:v>
      </x:c>
      <x:c r="G22" s="16" t="str">
        <x:v>inverting</x:v>
      </x:c>
      <x:c r="H22" s="15" t="n">
        <x:v>0.8</x:v>
      </x:c>
      <x:c r="I22" s="25" t="n">
        <x:v>0.000025</x:v>
      </x:c>
      <x:c r="J22" s="16" t="n">
        <x:f>SUMIFS('Нагрузки'!$D$6:$D$37,'Нагрузки'!$A$6:$A$37,A22)</x:f>
        <x:v>0.105</x:v>
      </x:c>
      <x:c r="K22" s="16" t="n">
        <x:f>SUMIFS('Нагрузки'!$E$6:$E$37,'Нагрузки'!$A$6:$A$37,A22)</x:f>
        <x:v>0.30000000000000004</x:v>
      </x:c>
      <x:c r="L22" s="16" t="n">
        <x:f>P24</x:f>
        <x:v>0.02</x:v>
      </x:c>
      <x:c r="M22" s="16" t="n">
        <x:f>Q24</x:f>
        <x:v>0.06</x:v>
      </x:c>
      <x:c r="N22" s="16" t="n">
        <x:f>J22+L22</x:f>
        <x:v>0.125</x:v>
      </x:c>
      <x:c r="O22" s="16" t="n">
        <x:f>K22+M22</x:f>
        <x:v>0.36000000000000004</x:v>
      </x:c>
      <x:c r="P22" s="16" t="n">
        <x:f>ABS(D22)*N22/('Вход'!$C$6*H22)+I22</x:f>
        <x:v>0.09761644042232274</x:v>
      </x:c>
      <x:c r="Q22" s="16" t="n">
        <x:f>ABS(D22)*O22/('Вход'!$C$6*H22)+I22</x:f>
        <x:v>0.28108834841628955</x:v>
      </x:c>
      <x:c r="R22" s="16" t="n">
        <x:f>ABS(D22)*O22</x:f>
        <x:v>5.39641628959276</x:v>
      </x:c>
      <x:c r="S22" s="16" t="n">
        <x:f>E22-O22</x:f>
        <x:v>0.1299618179578766</x:v>
      </x:c>
      <x:c r="T22" s="16" t="n">
        <x:v>14.25</x:v>
      </x:c>
      <x:c r="U22" s="16" t="n">
        <x:v>15.75</x:v>
      </x:c>
      <x:c r="V22" s="12" t="str">
        <x:v>D11: окно по модулю; IBB ток зависит от Vin</x:v>
      </x:c>
      <x:c r="W22" s="12" t="str">
        <x:v>https://www.ti.com/lit/an/slvafp0/slvafp0.pdf</x:v>
      </x:c>
      <x:c r="X22" s="12" t="str">
        <x:v>Power</x:v>
      </x:c>
      <x:c r="Y22" s="23" t="n">
        <x:f>'Вход'!$C$6*Q22-R22</x:f>
        <x:v>1.3497040723981888</x:v>
      </x:c>
    </x:row>
    <x:row r="23" ht="47" customHeight="1">
      <x:c r="A23" s="2" t="str">
        <x:v>PROG_P15</x:v>
      </x:c>
      <x:c r="B23" s="2" t="str">
        <x:v>P15</x:v>
      </x:c>
      <x:c r="C23" s="2" t="str">
        <x:v>Q2102/Q2103; P15</x:v>
      </x:c>
      <x:c r="D23" s="17" t="n">
        <x:v>14.990045248868777</x:v>
      </x:c>
      <x:c r="E23" s="17"/>
      <x:c r="F23" s="17" t="n">
        <x:v>0</x:v>
      </x:c>
      <x:c r="G23" s="17" t="str">
        <x:v>switch</x:v>
      </x:c>
      <x:c r="H23" s="15" t="n">
        <x:v>1</x:v>
      </x:c>
      <x:c r="I23" s="25" t="n">
        <x:v>0</x:v>
      </x:c>
      <x:c r="J23" s="17" t="n">
        <x:f>SUMIFS('Нагрузки'!$D$6:$D$37,'Нагрузки'!$A$6:$A$37,A23)</x:f>
        <x:v>0.02</x:v>
      </x:c>
      <x:c r="K23" s="17" t="n">
        <x:f>SUMIFS('Нагрузки'!$E$6:$E$37,'Нагрузки'!$A$6:$A$37,A23)</x:f>
        <x:v>0.06</x:v>
      </x:c>
      <x:c r="L23" s="17" t="n">
        <x:f>0</x:f>
        <x:v>0</x:v>
      </x:c>
      <x:c r="M23" s="17" t="n">
        <x:f>0</x:f>
        <x:v>0</x:v>
      </x:c>
      <x:c r="N23" s="17" t="n">
        <x:f>J23+L23</x:f>
        <x:v>0.02</x:v>
      </x:c>
      <x:c r="O23" s="17" t="n">
        <x:f>K23+M23</x:f>
        <x:v>0.06</x:v>
      </x:c>
      <x:c r="P23" s="17" t="n">
        <x:f>N23+I23</x:f>
        <x:v>0.02</x:v>
      </x:c>
      <x:c r="Q23" s="17" t="n">
        <x:f>O23+I23</x:f>
        <x:v>0.06</x:v>
      </x:c>
      <x:c r="R23" s="17" t="n">
        <x:f>ABS(D23)*O23</x:f>
        <x:v>0.8994027149321265</x:v>
      </x:c>
      <x:c r="S23" s="17" t="str">
        <x:f>"не определён"</x:f>
        <x:v>не определён</x:v>
      </x:c>
      <x:c r="T23" s="17" t="n">
        <x:v>14.25</x:v>
      </x:c>
      <x:c r="U23" s="17" t="n">
        <x:v>15.75</x:v>
      </x:c>
      <x:c r="V23" s="13" t="str">
        <x:v>D11: по модулю; сопротивление MOSFET ещё не включено</x:v>
      </x:c>
      <x:c r="W23" s="13" t="str">
        <x:v>https://github.com/max-talanov/mira/tree/24b4428877257387bc5a686abd9e830a37f58770/hardware</x:v>
      </x:c>
      <x:c r="X23" s="13" t="str">
        <x:v>Power</x:v>
      </x:c>
      <x:c r="Y23" s="23" t="n">
        <x:f>ABS(D21)*Q23-R23</x:f>
        <x:v>0</x:v>
      </x:c>
    </x:row>
    <x:row r="24" ht="47" customHeight="1">
      <x:c r="A24" s="9" t="str">
        <x:v>PROG_N15</x:v>
      </x:c>
      <x:c r="B24" s="9" t="str">
        <x:v>N15</x:v>
      </x:c>
      <x:c r="C24" s="9" t="str">
        <x:v>Ключи листа 2200; N15</x:v>
      </x:c>
      <x:c r="D24" s="16" t="n">
        <x:v>-14.990045248868777</x:v>
      </x:c>
      <x:c r="E24" s="16"/>
      <x:c r="F24" s="16" t="n">
        <x:v>0</x:v>
      </x:c>
      <x:c r="G24" s="16" t="str">
        <x:v>switch</x:v>
      </x:c>
      <x:c r="H24" s="15" t="n">
        <x:v>1</x:v>
      </x:c>
      <x:c r="I24" s="25" t="n">
        <x:v>0</x:v>
      </x:c>
      <x:c r="J24" s="16" t="n">
        <x:f>SUMIFS('Нагрузки'!$D$6:$D$37,'Нагрузки'!$A$6:$A$37,A24)</x:f>
        <x:v>0.02</x:v>
      </x:c>
      <x:c r="K24" s="16" t="n">
        <x:f>SUMIFS('Нагрузки'!$E$6:$E$37,'Нагрузки'!$A$6:$A$37,A24)</x:f>
        <x:v>0.06</x:v>
      </x:c>
      <x:c r="L24" s="16" t="n">
        <x:f>0</x:f>
        <x:v>0</x:v>
      </x:c>
      <x:c r="M24" s="16" t="n">
        <x:f>0</x:f>
        <x:v>0</x:v>
      </x:c>
      <x:c r="N24" s="16" t="n">
        <x:f>J24+L24</x:f>
        <x:v>0.02</x:v>
      </x:c>
      <x:c r="O24" s="16" t="n">
        <x:f>K24+M24</x:f>
        <x:v>0.06</x:v>
      </x:c>
      <x:c r="P24" s="16" t="n">
        <x:f>N24+I24</x:f>
        <x:v>0.02</x:v>
      </x:c>
      <x:c r="Q24" s="16" t="n">
        <x:f>O24+I24</x:f>
        <x:v>0.06</x:v>
      </x:c>
      <x:c r="R24" s="16" t="n">
        <x:f>ABS(D24)*O24</x:f>
        <x:v>0.8994027149321265</x:v>
      </x:c>
      <x:c r="S24" s="16" t="str">
        <x:f>"не определён"</x:f>
        <x:v>не определён</x:v>
      </x:c>
      <x:c r="T24" s="16" t="n">
        <x:v>14.25</x:v>
      </x:c>
      <x:c r="U24" s="16" t="n">
        <x:v>15.75</x:v>
      </x:c>
      <x:c r="V24" s="12" t="str">
        <x:v>D11: по модулю; сопротивление MOSFET ещё не включено</x:v>
      </x:c>
      <x:c r="W24" s="12" t="str">
        <x:v>https://github.com/max-talanov/mira/tree/24b4428877257387bc5a686abd9e830a37f58770/hardware</x:v>
      </x:c>
      <x:c r="X24" s="12" t="str">
        <x:v>Power</x:v>
      </x:c>
      <x:c r="Y24" s="23" t="n">
        <x:f>ABS(D22)*Q24-R24</x:f>
        <x:v>0</x:v>
      </x:c>
    </x:row>
    <x:row r="25" ht="47" customHeight="1">
      <x:c r="A25" s="2" t="str">
        <x:v>PHY2V5</x:v>
      </x:c>
      <x:c r="B25" s="2" t="str">
        <x:v>IO3V3</x:v>
      </x:c>
      <x:c r="C25" s="2" t="str">
        <x:v>U903 TLV75525P</x:v>
      </x:c>
      <x:c r="D25" s="17" t="n">
        <x:v>2.5</x:v>
      </x:c>
      <x:c r="E25" s="17" t="n">
        <x:v>0.5</x:v>
      </x:c>
      <x:c r="F25" s="17" t="n">
        <x:v>0</x:v>
      </x:c>
      <x:c r="G25" s="17" t="str">
        <x:v>linear</x:v>
      </x:c>
      <x:c r="H25" s="15" t="n">
        <x:v>0.7587253414264037</x:v>
      </x:c>
      <x:c r="I25" s="25" t="n">
        <x:v>0.00003</x:v>
      </x:c>
      <x:c r="J25" s="17" t="n">
        <x:f>SUMIFS('Нагрузки'!$D$6:$D$37,'Нагрузки'!$A$6:$A$37,A25)</x:f>
        <x:v>0.137</x:v>
      </x:c>
      <x:c r="K25" s="17" t="n">
        <x:f>SUMIFS('Нагрузки'!$E$6:$E$37,'Нагрузки'!$A$6:$A$37,A25)</x:f>
        <x:v>0.2</x:v>
      </x:c>
      <x:c r="L25" s="17" t="n">
        <x:f>0</x:f>
        <x:v>0</x:v>
      </x:c>
      <x:c r="M25" s="17" t="n">
        <x:f>0</x:f>
        <x:v>0</x:v>
      </x:c>
      <x:c r="N25" s="17" t="n">
        <x:f>J25+L25</x:f>
        <x:v>0.137</x:v>
      </x:c>
      <x:c r="O25" s="17" t="n">
        <x:f>K25+M25</x:f>
        <x:v>0.2</x:v>
      </x:c>
      <x:c r="P25" s="17" t="n">
        <x:f>N25+I25</x:f>
        <x:v>0.13703</x:v>
      </x:c>
      <x:c r="Q25" s="17" t="n">
        <x:f>O25+I25</x:f>
        <x:v>0.20003</x:v>
      </x:c>
      <x:c r="R25" s="17" t="n">
        <x:f>ABS(D25)*O25</x:f>
        <x:v>0.5</x:v>
      </x:c>
      <x:c r="S25" s="17" t="n">
        <x:f>E25-O25</x:f>
        <x:v>0.3</x:v>
      </x:c>
      <x:c r="T25" s="17" t="n">
        <x:v>2.375</x:v>
      </x:c>
      <x:c r="U25" s="17" t="n">
        <x:v>2.625</x:v>
      </x:c>
      <x:c r="V25" s="13" t="str">
        <x:v>TI DP83867 VDDA2P5</x:v>
      </x:c>
      <x:c r="W25" s="13" t="str">
        <x:v>https://github.com/max-talanov/mira/tree/24b4428877257387bc5a686abd9e830a37f58770/hardware</x:v>
      </x:c>
      <x:c r="X25" s="13" t="str">
        <x:v>Control</x:v>
      </x:c>
      <x:c r="Y25" s="23" t="n">
        <x:f>ABS(D13)*Q25-R25</x:f>
        <x:v>0.15909885</x:v>
      </x:c>
    </x:row>
    <x:row r="26" ht="47" customHeight="1">
      <x:c r="A26" s="9" t="str">
        <x:v>MAT_ADC_1V8</x:v>
      </x:c>
      <x:c r="B26" s="9" t="str">
        <x:v>ANA3V3</x:v>
      </x:c>
      <x:c r="C26" s="9" t="str">
        <x:v>U2005 TLV75518P</x:v>
      </x:c>
      <x:c r="D26" s="16" t="n">
        <x:v>1.8</x:v>
      </x:c>
      <x:c r="E26" s="16" t="n">
        <x:v>0.5</x:v>
      </x:c>
      <x:c r="F26" s="16" t="n">
        <x:v>0</x:v>
      </x:c>
      <x:c r="G26" s="16" t="str">
        <x:v>linear</x:v>
      </x:c>
      <x:c r="H26" s="15" t="n">
        <x:v>0.5462822458270107</x:v>
      </x:c>
      <x:c r="I26" s="25" t="n">
        <x:v>0.00003</x:v>
      </x:c>
      <x:c r="J26" s="16" t="n">
        <x:f>SUMIFS('Нагрузки'!$D$6:$D$37,'Нагрузки'!$A$6:$A$37,A26)</x:f>
        <x:v>0.02</x:v>
      </x:c>
      <x:c r="K26" s="16" t="n">
        <x:f>SUMIFS('Нагрузки'!$E$6:$E$37,'Нагрузки'!$A$6:$A$37,A26)</x:f>
        <x:v>0.05</x:v>
      </x:c>
      <x:c r="L26" s="16" t="n">
        <x:f>0</x:f>
        <x:v>0</x:v>
      </x:c>
      <x:c r="M26" s="16" t="n">
        <x:f>0</x:f>
        <x:v>0</x:v>
      </x:c>
      <x:c r="N26" s="16" t="n">
        <x:f>J26+L26</x:f>
        <x:v>0.02</x:v>
      </x:c>
      <x:c r="O26" s="16" t="n">
        <x:f>K26+M26</x:f>
        <x:v>0.05</x:v>
      </x:c>
      <x:c r="P26" s="16" t="n">
        <x:f>N26+I26</x:f>
        <x:v>0.02003</x:v>
      </x:c>
      <x:c r="Q26" s="16" t="n">
        <x:f>O26+I26</x:f>
        <x:v>0.050030000000000005</x:v>
      </x:c>
      <x:c r="R26" s="16" t="n">
        <x:f>ABS(D26)*O26</x:f>
        <x:v>0.09000000000000001</x:v>
      </x:c>
      <x:c r="S26" s="16" t="n">
        <x:f>E26-O26</x:f>
        <x:v>0.45</x:v>
      </x:c>
      <x:c r="T26" s="16" t="n">
        <x:v>1.71</x:v>
      </x:c>
      <x:c r="U26" s="16" t="n">
        <x:v>1.89</x:v>
      </x:c>
      <x:c r="V26" s="12" t="str">
        <x:v>D11: проектное окно, сверить AD4003</x:v>
      </x:c>
      <x:c r="W26" s="12" t="str">
        <x:v>https://github.com/max-talanov/mira/tree/24b4428877257387bc5a686abd9e830a37f58770/hardware</x:v>
      </x:c>
      <x:c r="X26" s="12" t="str">
        <x:v>Control</x:v>
      </x:c>
      <x:c r="Y26" s="23" t="n">
        <x:f>ABS(D20)*Q26-R26</x:f>
        <x:v>0.07484885000000001</x:v>
      </x:c>
    </x:row>
    <x:row r="27" ht="47" customHeight="1">
      <x:c r="A27" s="2" t="str">
        <x:v>MAT_REF_PRE12</x:v>
      </x:c>
      <x:c r="B27" s="2" t="str">
        <x:v>P15</x:v>
      </x:c>
      <x:c r="C27" s="2" t="str">
        <x:v>U2006 TLV76012</x:v>
      </x:c>
      <x:c r="D27" s="17" t="n">
        <x:v>12</x:v>
      </x:c>
      <x:c r="E27" s="17" t="n">
        <x:v>0.1</x:v>
      </x:c>
      <x:c r="F27" s="17" t="n">
        <x:v>0</x:v>
      </x:c>
      <x:c r="G27" s="17" t="str">
        <x:v>linear</x:v>
      </x:c>
      <x:c r="H27" s="15" t="n">
        <x:v>0.8</x:v>
      </x:c>
      <x:c r="I27" s="25" t="n">
        <x:v>0.0001</x:v>
      </x:c>
      <x:c r="J27" s="17" t="n">
        <x:f>SUMIFS('Нагрузки'!$D$6:$D$37,'Нагрузки'!$A$6:$A$37,A27)</x:f>
        <x:v>0.002</x:v>
      </x:c>
      <x:c r="K27" s="17" t="n">
        <x:f>SUMIFS('Нагрузки'!$E$6:$E$37,'Нагрузки'!$A$6:$A$37,A27)</x:f>
        <x:v>0.003</x:v>
      </x:c>
      <x:c r="L27" s="17" t="n">
        <x:f>P28</x:f>
        <x:v>0.001</x:v>
      </x:c>
      <x:c r="M27" s="17" t="n">
        <x:f>Q28</x:f>
        <x:v>0.005</x:v>
      </x:c>
      <x:c r="N27" s="17" t="n">
        <x:f>J27+L27</x:f>
        <x:v>0.003</x:v>
      </x:c>
      <x:c r="O27" s="17" t="n">
        <x:f>K27+M27</x:f>
        <x:v>0.008</x:v>
      </x:c>
      <x:c r="P27" s="17" t="n">
        <x:f>N27+I27</x:f>
        <x:v>0.0031</x:v>
      </x:c>
      <x:c r="Q27" s="17" t="n">
        <x:f>O27+I27</x:f>
        <x:v>0.0081</x:v>
      </x:c>
      <x:c r="R27" s="17" t="n">
        <x:f>ABS(D27)*O27</x:f>
        <x:v>0.096</x:v>
      </x:c>
      <x:c r="S27" s="17" t="n">
        <x:f>E27-O27</x:f>
        <x:v>0.092</x:v>
      </x:c>
      <x:c r="T27" s="17" t="n">
        <x:v>11.4</x:v>
      </x:c>
      <x:c r="U27" s="17" t="n">
        <x:v>12.6</x:v>
      </x:c>
      <x:c r="V27" s="13" t="str">
        <x:v>D11: проектное окно</x:v>
      </x:c>
      <x:c r="W27" s="13" t="str">
        <x:v>https://github.com/max-talanov/mira/tree/24b4428877257387bc5a686abd9e830a37f58770/hardware</x:v>
      </x:c>
      <x:c r="X27" s="13" t="str">
        <x:v>Control</x:v>
      </x:c>
      <x:c r="Y27" s="23" t="n">
        <x:f>ABS(D21)*Q27-R27</x:f>
        <x:v>0.02541936651583708</x:v>
      </x:c>
    </x:row>
    <x:row r="28" ht="47" customHeight="1">
      <x:c r="A28" s="9" t="str">
        <x:v>MAT_ADC_REF</x:v>
      </x:c>
      <x:c r="B28" s="9" t="str">
        <x:v>MAT_REF_PRE12</x:v>
      </x:c>
      <x:c r="C28" s="9" t="str">
        <x:v>U2000 ADR4550</x:v>
      </x:c>
      <x:c r="D28" s="16" t="n">
        <x:v>5</x:v>
      </x:c>
      <x:c r="E28" s="16"/>
      <x:c r="F28" s="16" t="n">
        <x:v>0</x:v>
      </x:c>
      <x:c r="G28" s="16" t="str">
        <x:v>linear</x:v>
      </x:c>
      <x:c r="H28" s="15" t="n">
        <x:v>0.4166666666666667</x:v>
      </x:c>
      <x:c r="I28" s="25" t="n">
        <x:v>0</x:v>
      </x:c>
      <x:c r="J28" s="16" t="n">
        <x:f>SUMIFS('Нагрузки'!$D$6:$D$37,'Нагрузки'!$A$6:$A$37,A28)</x:f>
        <x:v>0.001</x:v>
      </x:c>
      <x:c r="K28" s="16" t="n">
        <x:f>SUMIFS('Нагрузки'!$E$6:$E$37,'Нагрузки'!$A$6:$A$37,A28)</x:f>
        <x:v>0.005</x:v>
      </x:c>
      <x:c r="L28" s="16" t="n">
        <x:f>0</x:f>
        <x:v>0</x:v>
      </x:c>
      <x:c r="M28" s="16" t="n">
        <x:f>0</x:f>
        <x:v>0</x:v>
      </x:c>
      <x:c r="N28" s="16" t="n">
        <x:f>J28+L28</x:f>
        <x:v>0.001</x:v>
      </x:c>
      <x:c r="O28" s="16" t="n">
        <x:f>K28+M28</x:f>
        <x:v>0.005</x:v>
      </x:c>
      <x:c r="P28" s="16" t="n">
        <x:f>N28+I28</x:f>
        <x:v>0.001</x:v>
      </x:c>
      <x:c r="Q28" s="16" t="n">
        <x:f>O28+I28</x:f>
        <x:v>0.005</x:v>
      </x:c>
      <x:c r="R28" s="16" t="n">
        <x:f>ABS(D28)*O28</x:f>
        <x:v>0.025</x:v>
      </x:c>
      <x:c r="S28" s="16" t="str">
        <x:f>"не определён"</x:f>
        <x:v>не определён</x:v>
      </x:c>
      <x:c r="T28" s="16"/>
      <x:c r="U28" s="16"/>
      <x:c r="V28" s="12" t="str">
        <x:v>Точность, шум и динамика опоры рассматриваются отдельно</x:v>
      </x:c>
      <x:c r="W28" s="12" t="str">
        <x:v>https://github.com/max-talanov/mira/tree/24b4428877257387bc5a686abd9e830a37f58770/hardware</x:v>
      </x:c>
      <x:c r="X28" s="12" t="str">
        <x:v>Control</x:v>
      </x:c>
      <x:c r="Y28" s="23" t="n">
        <x:f>ABS(D27)*Q28-R28</x:f>
        <x:v>0.034999999999999996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</x:sheetData>
  <x:conditionalFormatting sqref="S6:S2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37C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22" hidden="0" customWidth="1"/>
    <x:col min="8" max="8" width="22" hidden="0" customWidth="1"/>
    <x:col min="9" max="9" width="18" hidden="0" customWidth="1"/>
    <x:col min="10" max="10" width="20" hidden="0" customWidth="1"/>
    <x:col min="11" max="11" width="20" hidden="0" customWidth="1"/>
    <x:col min="12" max="12" width="22" hidden="0" customWidth="1"/>
    <x:col min="13" max="13" width="23" hidden="0" customWidth="1"/>
    <x:col min="14" max="14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Пусковые токи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Icap = C × ΔV / Δt. Рампы и токи до конфигурации предварительные. Одновременный пуск дочерних шин — расчётная огибающая.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0" customHeight="1">
      <x:c r="A5" s="8" t="str">
        <x:v>Шина</x:v>
      </x:c>
      <x:c r="B5" s="8" t="str">
        <x:v>C Control, мкФ</x:v>
      </x:c>
      <x:c r="C5" s="8" t="str">
        <x:v>C Power, мкФ</x:v>
      </x:c>
      <x:c r="D5" s="8" t="str">
        <x:v>C всего, мкФ</x:v>
      </x:c>
      <x:c r="E5" s="8" t="str">
        <x:v>Множитель C</x:v>
      </x:c>
      <x:c r="F5" s="8" t="str">
        <x:v>Рампа, мс</x:v>
      </x:c>
      <x:c r="G5" s="8" t="str">
        <x:v>Нагрузка без C, А</x:v>
      </x:c>
      <x:c r="H5" s="8" t="str">
        <x:v>Дочерние входы, А</x:v>
      </x:c>
      <x:c r="I5" s="8" t="str">
        <x:v>Заряд C, А</x:v>
      </x:c>
      <x:c r="J5" s="8" t="str">
        <x:v>Пуск выхода, А</x:v>
      </x:c>
      <x:c r="K5" s="8" t="str">
        <x:v>Пуск входа, А</x:v>
      </x:c>
      <x:c r="L5" s="8" t="str">
        <x:v>Запас источника, А</x:v>
      </x:c>
      <x:c r="M5" s="8" t="str">
        <x:v>Пуск через J400, А</x:v>
      </x:c>
      <x:c r="N5" s="8" t="str">
        <x:v>Основание</x:v>
      </x:c>
    </x:row>
    <x:row r="6" ht="44" customHeight="1">
      <x:c r="A6" s="9" t="str">
        <x:v>AON</x:v>
      </x:c>
      <x:c r="B6" s="16" t="n">
        <x:v>0</x:v>
      </x:c>
      <x:c r="C6" s="16" t="n">
        <x:v>108.2</x:v>
      </x:c>
      <x:c r="D6" s="16" t="n">
        <x:f>B6+C6</x:f>
        <x:v>108.2</x:v>
      </x:c>
      <x:c r="E6" s="16" t="n">
        <x:f>'Вход'!$C$9</x:f>
        <x:v>1.2</x:v>
      </x:c>
      <x:c r="F6" s="14" t="n">
        <x:v>5</x:v>
      </x:c>
      <x:c r="G6" s="16" t="n">
        <x:f>SUMIFS('Нагрузки'!$F$6:$F$37,'Нагрузки'!$A$6:$A$37,A6)</x:f>
        <x:v>0.081</x:v>
      </x:c>
      <x:c r="H6" s="16" t="n">
        <x:f>K17</x:f>
        <x:v>0.000181</x:v>
      </x:c>
      <x:c r="I6" s="16" t="n">
        <x:f>D6*E6*ABS('Шины'!D6)/(1000*F6)</x:f>
        <x:v>0.08517504000000001</x:v>
      </x:c>
      <x:c r="J6" s="16" t="n">
        <x:f>G6+H6+I6</x:f>
        <x:v>0.16635604</x:v>
      </x:c>
      <x:c r="K6" s="16" t="n">
        <x:f>ABS('Шины'!D6)*J6/('Вход'!$C$6*'Шины'!H6)+'Шины'!I6</x:f>
        <x:v>0.0267724417254902</x:v>
      </x:c>
      <x:c r="L6" s="16" t="n">
        <x:f>'Шины'!E6-J6</x:f>
        <x:v>0.83364396</x:v>
      </x:c>
      <x:c r="M6" s="16" t="n">
        <x:f>SUMIFS('Нагрузки'!$F$6:$F$37,'Нагрузки'!$A$6:$A$37,A6,'Нагрузки'!$B$6:$B$37,"Control")+0+B6*E6*ABS('Шины'!D6)/(1000*F6)</x:f>
        <x:v>0.001</x:v>
      </x:c>
      <x:c r="N6" s="12" t="str">
        <x:v>D19: 5 мс условно; действительную рампу и порядок EN подтвердить.</x:v>
      </x:c>
    </x:row>
    <x:row r="7" ht="44" customHeight="1">
      <x:c r="A7" s="2" t="str">
        <x:v>SYS3V3</x:v>
      </x:c>
      <x:c r="B7" s="17" t="n">
        <x:v>29.300000000000004</x:v>
      </x:c>
      <x:c r="C7" s="17" t="n">
        <x:v>283.2</x:v>
      </x:c>
      <x:c r="D7" s="17" t="n">
        <x:f>B7+C7</x:f>
        <x:v>312.5</x:v>
      </x:c>
      <x:c r="E7" s="17" t="n">
        <x:f>'Вход'!$C$9</x:f>
        <x:v>1.2</x:v>
      </x:c>
      <x:c r="F7" s="14" t="n">
        <x:v>5</x:v>
      </x:c>
      <x:c r="G7" s="17" t="n">
        <x:f>SUMIFS('Нагрузки'!$F$6:$F$37,'Нагрузки'!$A$6:$A$37,A7)</x:f>
        <x:v>0.15500000000000003</x:v>
      </x:c>
      <x:c r="H7" s="17" t="n">
        <x:f>0</x:f>
        <x:v>0</x:v>
      </x:c>
      <x:c r="I7" s="17" t="n">
        <x:f>D7*E7*ABS('Шины'!D7)/(1000*F7)</x:f>
        <x:v>0.24861111111111114</x:v>
      </x:c>
      <x:c r="J7" s="17" t="n">
        <x:f>G7+H7+I7</x:f>
        <x:v>0.40361111111111114</x:v>
      </x:c>
      <x:c r="K7" s="17" t="n">
        <x:f>ABS('Шины'!D7)*J7/('Вход'!$C$6*'Шины'!H7)+'Шины'!I7</x:f>
        <x:v>0.061954633821063865</x:v>
      </x:c>
      <x:c r="L7" s="17" t="n">
        <x:f>'Шины'!E7-J7</x:f>
        <x:v>4.596388888888889</x:v>
      </x:c>
      <x:c r="M7" s="17" t="n">
        <x:f>SUMIFS('Нагрузки'!$F$6:$F$37,'Нагрузки'!$A$6:$A$37,A7,'Нагрузки'!$B$6:$B$37,"Control")+0+B7*E7*ABS('Шины'!D7)/(1000*F7)</x:f>
        <x:v>0.1733097777777778</x:v>
      </x:c>
      <x:c r="N7" s="13" t="str">
        <x:v>D19: 5 мс условно; действительную рампу и порядок EN подтвердить.</x:v>
      </x:c>
    </x:row>
    <x:row r="8" ht="44" customHeight="1">
      <x:c r="A8" s="9" t="str">
        <x:v>USB5</x:v>
      </x:c>
      <x:c r="B8" s="16" t="n">
        <x:v>0.1</x:v>
      </x:c>
      <x:c r="C8" s="16" t="n">
        <x:v>94</x:v>
      </x:c>
      <x:c r="D8" s="16" t="n">
        <x:f>B8+C8</x:f>
        <x:v>94.1</x:v>
      </x:c>
      <x:c r="E8" s="16" t="n">
        <x:f>'Вход'!$C$9</x:f>
        <x:v>1.2</x:v>
      </x:c>
      <x:c r="F8" s="14" t="n">
        <x:v>5</x:v>
      </x:c>
      <x:c r="G8" s="16" t="n">
        <x:f>SUMIFS('Нагрузки'!$F$6:$F$37,'Нагрузки'!$A$6:$A$37,A8)</x:f>
        <x:v>0.02</x:v>
      </x:c>
      <x:c r="H8" s="16" t="n">
        <x:f>0</x:f>
        <x:v>0</x:v>
      </x:c>
      <x:c r="I8" s="16" t="n">
        <x:f>D8*E8*ABS('Шины'!D8)/(1000*F8)</x:f>
        <x:v>0.11291999999999998</x:v>
      </x:c>
      <x:c r="J8" s="16" t="n">
        <x:f>G8+H8+I8</x:f>
        <x:v>0.13291999999999998</x:v>
      </x:c>
      <x:c r="K8" s="16" t="n">
        <x:f>ABS('Шины'!D8)*J8/('Вход'!$C$6*'Шины'!H8)+'Шины'!I8</x:f>
        <x:v>0.032603431372549015</x:v>
      </x:c>
      <x:c r="L8" s="16" t="n">
        <x:f>'Шины'!E8-J8</x:f>
        <x:v>0.8670800000000001</x:v>
      </x:c>
      <x:c r="M8" s="16" t="n">
        <x:f>SUMIFS('Нагрузки'!$F$6:$F$37,'Нагрузки'!$A$6:$A$37,A8,'Нагрузки'!$B$6:$B$37,"Control")+0+B8*E8*ABS('Шины'!D8)/(1000*F8)</x:f>
        <x:v>0.02012</x:v>
      </x:c>
      <x:c r="N8" s="12" t="str">
        <x:v>D19: 5 мс условно; действительную рампу и порядок EN подтвердить.</x:v>
      </x:c>
    </x:row>
    <x:row r="9" ht="44" customHeight="1">
      <x:c r="A9" s="2" t="str">
        <x:v>FPGA5V5</x:v>
      </x:c>
      <x:c r="B9" s="17" t="n">
        <x:v>0</x:v>
      </x:c>
      <x:c r="C9" s="17" t="n">
        <x:v>427.6</x:v>
      </x:c>
      <x:c r="D9" s="17" t="n">
        <x:f>B9+C9</x:f>
        <x:v>427.6</x:v>
      </x:c>
      <x:c r="E9" s="17" t="n">
        <x:f>'Вход'!$C$9</x:f>
        <x:v>1.2</x:v>
      </x:c>
      <x:c r="F9" s="14" t="n">
        <x:v>5</x:v>
      </x:c>
      <x:c r="G9" s="17" t="n">
        <x:f>SUMIFS('Нагрузки'!$F$6:$F$37,'Нагрузки'!$A$6:$A$37,A9)</x:f>
        <x:v>0</x:v>
      </x:c>
      <x:c r="H9" s="17" t="n">
        <x:f>K10+K11+K12+K13+K14+K15</x:f>
        <x:v>1.1227086135362767</x:v>
      </x:c>
      <x:c r="I9" s="17" t="n">
        <x:f>D9*E9*ABS('Шины'!D9)/(1000*F9)</x:f>
        <x:v>0.5669859909502263</x:v>
      </x:c>
      <x:c r="J9" s="17" t="n">
        <x:f>G9+H9+I9</x:f>
        <x:v>1.6896946044865029</x:v>
      </x:c>
      <x:c r="K9" s="17" t="n">
        <x:f>ABS('Шины'!D9)*J9/('Вход'!$C$6*'Шины'!H9)+'Шины'!I9</x:f>
        <x:v>0.4322081272159418</x:v>
      </x:c>
      <x:c r="L9" s="17" t="n">
        <x:f>'Шины'!E9-J9</x:f>
        <x:v>3.310305395513497</x:v>
      </x:c>
      <x:c r="M9" s="17" t="n">
        <x:f>SUMIFS('Нагрузки'!$F$6:$F$37,'Нагрузки'!$A$6:$A$37,A9,'Нагрузки'!$B$6:$B$37,"Control")+0+B9*E9*ABS('Шины'!D9)/(1000*F9)</x:f>
        <x:v>0</x:v>
      </x:c>
      <x:c r="N9" s="13" t="str">
        <x:v>D19: 5 мс условно; действительную рампу и порядок EN подтвердить.</x:v>
      </x:c>
    </x:row>
    <x:row r="10" ht="44" customHeight="1">
      <x:c r="A10" s="9" t="str">
        <x:v>CORE1V0</x:v>
      </x:c>
      <x:c r="B10" s="16" t="n">
        <x:v>844.3900000000008</x:v>
      </x:c>
      <x:c r="C10" s="16" t="n">
        <x:v>281.9999999999993</x:v>
      </x:c>
      <x:c r="D10" s="16" t="n">
        <x:f>B10+C10</x:f>
        <x:v>1126.39</x:v>
      </x:c>
      <x:c r="E10" s="16" t="n">
        <x:f>'Вход'!$C$9</x:f>
        <x:v>1.2</x:v>
      </x:c>
      <x:c r="F10" s="14" t="n">
        <x:v>2.2</x:v>
      </x:c>
      <x:c r="G10" s="16" t="n">
        <x:f>SUMIFS('Нагрузки'!$F$6:$F$37,'Нагрузки'!$A$6:$A$37,A10)</x:f>
        <x:v>1</x:v>
      </x:c>
      <x:c r="H10" s="16" t="n">
        <x:f>0</x:f>
        <x:v>0</x:v>
      </x:c>
      <x:c r="I10" s="16" t="n">
        <x:f>D10*E10*ABS('Шины'!D10)/(1000*F10)</x:f>
        <x:v>0.6193097018181818</x:v>
      </x:c>
      <x:c r="J10" s="16" t="n">
        <x:f>G10+H10+I10</x:f>
        <x:v>1.6193097018181817</x:v>
      </x:c>
      <x:c r="K10" s="16" t="n">
        <x:f>ABS('Шины'!D10)*J10/(ABS('Шины'!D9)*'Шины'!H10)+'Шины'!I10</x:f>
        <x:v>0.3363255450586634</x:v>
      </x:c>
      <x:c r="L10" s="16" t="n">
        <x:f>'Шины'!E10-J10</x:f>
        <x:v>6.380690298181818</x:v>
      </x:c>
      <x:c r="M10" s="16" t="n">
        <x:f>SUMIFS('Нагрузки'!$F$6:$F$37,'Нагрузки'!$A$6:$A$37,A10,'Нагрузки'!$B$6:$B$37,"Control")+0+B10*E10*ABS('Шины'!D10)/(1000*F10)</x:f>
        <x:v>1.464260974545455</x:v>
      </x:c>
      <x:c r="N10" s="12" t="str">
        <x:v>Схема: C1203=22 нФ, около 2,2 мс; FPGA до конфигурации.</x:v>
      </x:c>
    </x:row>
    <x:row r="11" ht="44" customHeight="1">
      <x:c r="A11" s="2" t="str">
        <x:v>AUX1V8</x:v>
      </x:c>
      <x:c r="B11" s="17" t="n">
        <x:v>63.45</x:v>
      </x:c>
      <x:c r="C11" s="17" t="n">
        <x:v>47</x:v>
      </x:c>
      <x:c r="D11" s="17" t="n">
        <x:f>B11+C11</x:f>
        <x:v>110.45</x:v>
      </x:c>
      <x:c r="E11" s="17" t="n">
        <x:f>'Вход'!$C$9</x:f>
        <x:v>1.2</x:v>
      </x:c>
      <x:c r="F11" s="14" t="n">
        <x:v>5</x:v>
      </x:c>
      <x:c r="G11" s="17" t="n">
        <x:f>SUMIFS('Нагрузки'!$F$6:$F$37,'Нагрузки'!$A$6:$A$37,A11)</x:f>
        <x:v>0.15</x:v>
      </x:c>
      <x:c r="H11" s="17" t="n">
        <x:f>0</x:f>
        <x:v>0</x:v>
      </x:c>
      <x:c r="I11" s="17" t="n">
        <x:f>D11*E11*ABS('Шины'!D11)/(1000*F11)</x:f>
        <x:v>0.0477144</x:v>
      </x:c>
      <x:c r="J11" s="17" t="n">
        <x:f>G11+H11+I11</x:f>
        <x:v>0.19771439999999998</x:v>
      </x:c>
      <x:c r="K11" s="17" t="n">
        <x:f>ABS('Шины'!D11)*J11/(ABS('Шины'!D9)*'Шины'!H11)+'Шины'!I11</x:f>
        <x:v>0.07321593187402278</x:v>
      </x:c>
      <x:c r="L11" s="17" t="n">
        <x:f>'Шины'!E11-J11</x:f>
        <x:v>2.8022856</x:v>
      </x:c>
      <x:c r="M11" s="17" t="n">
        <x:f>SUMIFS('Нагрузки'!$F$6:$F$37,'Нагрузки'!$A$6:$A$37,A11,'Нагрузки'!$B$6:$B$37,"Control")+0+B11*E11*ABS('Шины'!D11)/(1000*F11)</x:f>
        <x:v>0.1774104</x:v>
      </x:c>
      <x:c r="N11" s="13" t="str">
        <x:v>Схема: SS/TR=10 нФ, около 5 мс; подтвердить допуск и нагрузку.</x:v>
      </x:c>
    </x:row>
    <x:row r="12" ht="44" customHeight="1">
      <x:c r="A12" s="9" t="str">
        <x:v>AUX2V5</x:v>
      </x:c>
      <x:c r="B12" s="16" t="n">
        <x:v>0</x:v>
      </x:c>
      <x:c r="C12" s="16" t="n">
        <x:v>47</x:v>
      </x:c>
      <x:c r="D12" s="16" t="n">
        <x:f>B12+C12</x:f>
        <x:v>47</x:v>
      </x:c>
      <x:c r="E12" s="16" t="n">
        <x:f>'Вход'!$C$9</x:f>
        <x:v>1.2</x:v>
      </x:c>
      <x:c r="F12" s="14" t="n">
        <x:v>5</x:v>
      </x:c>
      <x:c r="G12" s="16" t="n">
        <x:f>SUMIFS('Нагрузки'!$F$6:$F$37,'Нагрузки'!$A$6:$A$37,A12)</x:f>
        <x:v>0</x:v>
      </x:c>
      <x:c r="H12" s="16" t="n">
        <x:f>0</x:f>
        <x:v>0</x:v>
      </x:c>
      <x:c r="I12" s="16" t="n">
        <x:f>D12*E12*ABS('Шины'!D12)/(1000*F12)</x:f>
        <x:v>0.0282</x:v>
      </x:c>
      <x:c r="J12" s="16" t="n">
        <x:f>G12+H12+I12</x:f>
        <x:v>0.0282</x:v>
      </x:c>
      <x:c r="K12" s="16" t="n">
        <x:f>ABS('Шины'!D12)*J12/(ABS('Шины'!D9)*'Шины'!H12)+'Шины'!I12</x:f>
        <x:v>0.014517502568684386</x:v>
      </x:c>
      <x:c r="L12" s="16" t="n">
        <x:f>'Шины'!E12-J12</x:f>
        <x:v>2.9718</x:v>
      </x:c>
      <x:c r="M12" s="16" t="n">
        <x:f>SUMIFS('Нагрузки'!$F$6:$F$37,'Нагрузки'!$A$6:$A$37,A12,'Нагрузки'!$B$6:$B$37,"Control")+0+B12*E12*ABS('Шины'!D12)/(1000*F12)</x:f>
        <x:v>0</x:v>
      </x:c>
      <x:c r="N12" s="12" t="str">
        <x:v>Схема: SS/TR=10 нФ, около 5 мс; подтвердить допуск и нагрузку.</x:v>
      </x:c>
    </x:row>
    <x:row r="13" ht="44" customHeight="1">
      <x:c r="A13" s="2" t="str">
        <x:v>IO3V3</x:v>
      </x:c>
      <x:c r="B13" s="17" t="n">
        <x:v>404.1100000000002</x:v>
      </x:c>
      <x:c r="C13" s="17" t="n">
        <x:v>46.99999999999983</x:v>
      </x:c>
      <x:c r="D13" s="17" t="n">
        <x:f>B13+C13</x:f>
        <x:v>451.11</x:v>
      </x:c>
      <x:c r="E13" s="17" t="n">
        <x:f>'Вход'!$C$9</x:f>
        <x:v>1.2</x:v>
      </x:c>
      <x:c r="F13" s="14" t="n">
        <x:v>5</x:v>
      </x:c>
      <x:c r="G13" s="17" t="n">
        <x:f>SUMIFS('Нагрузки'!$F$6:$F$37,'Нагрузки'!$A$6:$A$37,A13)</x:f>
        <x:v>0.41500000000000004</x:v>
      </x:c>
      <x:c r="H13" s="17" t="n">
        <x:f>K25</x:f>
        <x:v>0.14117000000000002</x:v>
      </x:c>
      <x:c r="I13" s="17" t="n">
        <x:f>D13*E13*ABS('Шины'!D13)/(1000*F13)</x:f>
        <x:v>0.356737788</x:v>
      </x:c>
      <x:c r="J13" s="17" t="n">
        <x:f>G13+H13+I13</x:f>
        <x:v>0.912907788</x:v>
      </x:c>
      <x:c r="K13" s="17" t="n">
        <x:f>ABS('Шины'!D13)*J13/(ABS('Шины'!D9)*'Шины'!H13)+'Шины'!I13</x:f>
        <x:v>0.6049627518269725</x:v>
      </x:c>
      <x:c r="L13" s="17" t="n">
        <x:f>'Шины'!E13-J13</x:f>
        <x:v>2.087092212</x:v>
      </x:c>
      <x:c r="M13" s="17" t="n">
        <x:f>SUMIFS('Нагрузки'!$F$6:$F$37,'Нагрузки'!$A$6:$A$37,A13,'Нагрузки'!$B$6:$B$37,"Control")+K25+B13*E13*ABS('Шины'!D13)/(1000*F13)</x:f>
        <x:v>0.8757401880000002</x:v>
      </x:c>
      <x:c r="N13" s="13" t="str">
        <x:v>Схема: SS/TR=10 нФ, около 5 мс; подтвердить допуск и нагрузку.</x:v>
      </x:c>
    </x:row>
    <x:row r="14" ht="44" customHeight="1">
      <x:c r="A14" s="9" t="str">
        <x:v>DDR1V35</x:v>
      </x:c>
      <x:c r="B14" s="16" t="n">
        <x:v>140.9199999999999</x:v>
      </x:c>
      <x:c r="C14" s="16" t="n">
        <x:v>57.000000000000085</x:v>
      </x:c>
      <x:c r="D14" s="16" t="n">
        <x:f>B14+C14</x:f>
        <x:v>197.92</x:v>
      </x:c>
      <x:c r="E14" s="16" t="n">
        <x:f>'Вход'!$C$9</x:f>
        <x:v>1.2</x:v>
      </x:c>
      <x:c r="F14" s="14" t="n">
        <x:v>5</x:v>
      </x:c>
      <x:c r="G14" s="16" t="n">
        <x:f>SUMIFS('Нагрузки'!$F$6:$F$37,'Нагрузки'!$A$6:$A$37,A14)</x:f>
        <x:v>0.15</x:v>
      </x:c>
      <x:c r="H14" s="16" t="n">
        <x:f>K16</x:f>
        <x:v>0.02486</x:v>
      </x:c>
      <x:c r="I14" s="16" t="n">
        <x:f>D14*E14*ABS('Шины'!D14)/(1000*F14)</x:f>
        <x:v>0.06412607999999999</x:v>
      </x:c>
      <x:c r="J14" s="16" t="n">
        <x:f>G14+H14+I14</x:f>
        <x:v>0.23898608</x:v>
      </x:c>
      <x:c r="K14" s="16" t="n">
        <x:f>ABS('Шины'!D14)*J14/(ABS('Шины'!D9)*'Шины'!H14)+'Шины'!I14</x:f>
        <x:v>0.06637607319633684</x:v>
      </x:c>
      <x:c r="L14" s="16" t="n">
        <x:f>'Шины'!E14-J14</x:f>
        <x:v>2.76101392</x:v>
      </x:c>
      <x:c r="M14" s="16" t="n">
        <x:f>SUMIFS('Нагрузки'!$F$6:$F$37,'Нагрузки'!$A$6:$A$37,A14,'Нагрузки'!$B$6:$B$37,"Control")+0+B14*E14*ABS('Шины'!D14)/(1000*F14)</x:f>
        <x:v>0.19565807999999996</x:v>
      </x:c>
      <x:c r="N14" s="12" t="str">
        <x:v>Схема: SS/TR=10 нФ, около 5 мс; подтвердить допуск и нагрузку.</x:v>
      </x:c>
    </x:row>
    <x:row r="15" ht="44" customHeight="1">
      <x:c r="A15" s="2" t="str">
        <x:v>PHY1V05</x:v>
      </x:c>
      <x:c r="B15" s="17" t="n">
        <x:v>9.1</x:v>
      </x:c>
      <x:c r="C15" s="17" t="n">
        <x:v>47</x:v>
      </x:c>
      <x:c r="D15" s="17" t="n">
        <x:f>B15+C15</x:f>
        <x:v>56.1</x:v>
      </x:c>
      <x:c r="E15" s="17" t="n">
        <x:f>'Вход'!$C$9</x:f>
        <x:v>1.2</x:v>
      </x:c>
      <x:c r="F15" s="14" t="n">
        <x:v>5</x:v>
      </x:c>
      <x:c r="G15" s="17" t="n">
        <x:f>SUMIFS('Нагрузки'!$F$6:$F$37,'Нагрузки'!$A$6:$A$37,A15)</x:f>
        <x:v>0.108</x:v>
      </x:c>
      <x:c r="H15" s="17" t="n">
        <x:f>0</x:f>
        <x:v>0</x:v>
      </x:c>
      <x:c r="I15" s="17" t="n">
        <x:f>D15*E15*ABS('Шины'!D15)/(1000*F15)</x:f>
        <x:v>0.014130467999999998</x:v>
      </x:c>
      <x:c r="J15" s="17" t="n">
        <x:f>G15+H15+I15</x:f>
        <x:v>0.12213046799999999</x:v>
      </x:c>
      <x:c r="K15" s="17" t="n">
        <x:f>ABS('Шины'!D15)*J15/(ABS('Шины'!D9)*'Шины'!H15)+'Шины'!I15</x:f>
        <x:v>0.027310809011597055</x:v>
      </x:c>
      <x:c r="L15" s="17" t="n">
        <x:f>'Шины'!E15-J15</x:f>
        <x:v>2.877869532</x:v>
      </x:c>
      <x:c r="M15" s="17" t="n">
        <x:f>SUMIFS('Нагрузки'!$F$6:$F$37,'Нагрузки'!$A$6:$A$37,A15,'Нагрузки'!$B$6:$B$37,"Control")+0+B15*E15*ABS('Шины'!D15)/(1000*F15)</x:f>
        <x:v>0.110292108</x:v>
      </x:c>
      <x:c r="N15" s="13" t="str">
        <x:v>Схема: SS/TR=10 нФ, около 5 мс; подтвердить допуск и нагрузку.</x:v>
      </x:c>
    </x:row>
    <x:row r="16" ht="44" customHeight="1">
      <x:c r="A16" s="9" t="str">
        <x:v>VTT</x:v>
      </x:c>
      <x:c r="B16" s="16" t="n">
        <x:v>0</x:v>
      </x:c>
      <x:c r="C16" s="16" t="n">
        <x:v>30</x:v>
      </x:c>
      <x:c r="D16" s="16" t="n">
        <x:f>B16+C16</x:f>
        <x:v>30</x:v>
      </x:c>
      <x:c r="E16" s="16" t="n">
        <x:f>'Вход'!$C$9</x:f>
        <x:v>1.2</x:v>
      </x:c>
      <x:c r="F16" s="14" t="n">
        <x:v>5</x:v>
      </x:c>
      <x:c r="G16" s="16" t="n">
        <x:f>SUMIFS('Нагрузки'!$F$6:$F$37,'Нагрузки'!$A$6:$A$37,A16)</x:f>
        <x:v>0.02</x:v>
      </x:c>
      <x:c r="H16" s="16" t="n">
        <x:f>0</x:f>
        <x:v>0</x:v>
      </x:c>
      <x:c r="I16" s="16" t="n">
        <x:f>D16*E16*ABS('Шины'!D16)/(1000*F16)</x:f>
        <x:v>0.00486</x:v>
      </x:c>
      <x:c r="J16" s="16" t="n">
        <x:f>G16+H16+I16</x:f>
        <x:v>0.02486</x:v>
      </x:c>
      <x:c r="K16" s="16" t="n">
        <x:f>J16+'Шины'!I16</x:f>
        <x:v>0.02486</x:v>
      </x:c>
      <x:c r="L16" s="16" t="n">
        <x:f>'Шины'!E16-J16</x:f>
        <x:v>2.97514</x:v>
      </x:c>
      <x:c r="M16" s="16" t="n">
        <x:f>SUMIFS('Нагрузки'!$F$6:$F$37,'Нагрузки'!$A$6:$A$37,A16,'Нагрузки'!$B$6:$B$37,"Control")+0+B16*E16*ABS('Шины'!D16)/(1000*F16)</x:f>
        <x:v>0.02</x:v>
      </x:c>
      <x:c r="N16" s="12" t="str">
        <x:v>D19: 5 мс условно; действительную рампу и порядок EN подтвердить.</x:v>
      </x:c>
    </x:row>
    <x:row r="17" ht="44" customHeight="1">
      <x:c r="A17" s="2" t="str">
        <x:v>DDR_VREF</x:v>
      </x:c>
      <x:c r="B17" s="17" t="n">
        <x:v>0.4</x:v>
      </x:c>
      <x:c r="C17" s="17" t="n">
        <x:v>0.09999999999999998</x:v>
      </x:c>
      <x:c r="D17" s="17" t="n">
        <x:f>B17+C17</x:f>
        <x:v>0.5</x:v>
      </x:c>
      <x:c r="E17" s="17" t="n">
        <x:f>'Вход'!$C$9</x:f>
        <x:v>1.2</x:v>
      </x:c>
      <x:c r="F17" s="14" t="n">
        <x:v>5</x:v>
      </x:c>
      <x:c r="G17" s="17" t="n">
        <x:f>SUMIFS('Нагрузки'!$F$6:$F$37,'Нагрузки'!$A$6:$A$37,A17)</x:f>
        <x:v>0.0001</x:v>
      </x:c>
      <x:c r="H17" s="17" t="n">
        <x:f>0</x:f>
        <x:v>0</x:v>
      </x:c>
      <x:c r="I17" s="17" t="n">
        <x:f>D17*E17*ABS('Шины'!D17)/(1000*F17)</x:f>
        <x:v>0.000081</x:v>
      </x:c>
      <x:c r="J17" s="17" t="n">
        <x:f>G17+H17+I17</x:f>
        <x:v>0.000181</x:v>
      </x:c>
      <x:c r="K17" s="17" t="n">
        <x:f>J17+'Шины'!I17</x:f>
        <x:v>0.000181</x:v>
      </x:c>
      <x:c r="L17" s="17" t="str">
        <x:f>"не определён"</x:f>
        <x:v>не определён</x:v>
      </x:c>
      <x:c r="M17" s="17" t="n">
        <x:f>SUMIFS('Нагрузки'!$F$6:$F$37,'Нагрузки'!$A$6:$A$37,A17,'Нагрузки'!$B$6:$B$37,"Control")+0+B17*E17*ABS('Шины'!D17)/(1000*F17)</x:f>
        <x:v>0.0001648</x:v>
      </x:c>
      <x:c r="N17" s="13" t="str">
        <x:v>D19: 5 мс условно; действительную рампу и порядок EN подтвердить.</x:v>
      </x:c>
    </x:row>
    <x:row r="18" ht="44" customHeight="1">
      <x:c r="A18" s="9" t="str">
        <x:v>ANA6</x:v>
      </x:c>
      <x:c r="B18" s="16" t="n">
        <x:v>0</x:v>
      </x:c>
      <x:c r="C18" s="16" t="n">
        <x:v>141</x:v>
      </x:c>
      <x:c r="D18" s="16" t="n">
        <x:f>B18+C18</x:f>
        <x:v>141</x:v>
      </x:c>
      <x:c r="E18" s="16" t="n">
        <x:f>'Вход'!$C$9</x:f>
        <x:v>1.2</x:v>
      </x:c>
      <x:c r="F18" s="14" t="n">
        <x:v>5</x:v>
      </x:c>
      <x:c r="G18" s="16" t="n">
        <x:f>SUMIFS('Нагрузки'!$F$6:$F$37,'Нагрузки'!$A$6:$A$37,A18)</x:f>
        <x:v>0</x:v>
      </x:c>
      <x:c r="H18" s="16" t="n">
        <x:f>K19</x:f>
        <x:v>0.14215073846153845</x:v>
      </x:c>
      <x:c r="I18" s="16" t="n">
        <x:f>D18*E18*ABS('Шины'!D18)/(1000*F18)</x:f>
        <x:v>0.20304</x:v>
      </x:c>
      <x:c r="J18" s="16" t="n">
        <x:f>G18+H18+I18</x:f>
        <x:v>0.34519073846153847</x:v>
      </x:c>
      <x:c r="K18" s="16" t="n">
        <x:f>ABS('Шины'!D18)*J18/('Вход'!$C$6*'Шины'!H18)+'Шины'!I18</x:f>
        <x:v>0.10155168778280543</x:v>
      </x:c>
      <x:c r="L18" s="16" t="n">
        <x:f>'Шины'!E18-J18</x:f>
        <x:v>0.6548092615384615</x:v>
      </x:c>
      <x:c r="M18" s="16" t="n">
        <x:f>SUMIFS('Нагрузки'!$F$6:$F$37,'Нагрузки'!$A$6:$A$37,A18,'Нагрузки'!$B$6:$B$37,"Control")+0+B18*E18*ABS('Шины'!D18)/(1000*F18)</x:f>
        <x:v>0</x:v>
      </x:c>
      <x:c r="N18" s="12" t="str">
        <x:v>D19: 5 мс условно; действительную рампу и порядок EN подтвердить.</x:v>
      </x:c>
    </x:row>
    <x:row r="19" ht="44" customHeight="1">
      <x:c r="A19" s="2" t="str">
        <x:v>ANA5</x:v>
      </x:c>
      <x:c r="B19" s="17" t="n">
        <x:v>51.70000000000001</x:v>
      </x:c>
      <x:c r="C19" s="17" t="n">
        <x:v>93.99999999999997</x:v>
      </x:c>
      <x:c r="D19" s="17" t="n">
        <x:f>B19+C19</x:f>
        <x:v>145.7</x:v>
      </x:c>
      <x:c r="E19" s="17" t="n">
        <x:f>'Вход'!$C$9</x:f>
        <x:v>1.2</x:v>
      </x:c>
      <x:c r="F19" s="14" t="n">
        <x:v>13</x:v>
      </x:c>
      <x:c r="G19" s="17" t="n">
        <x:f>SUMIFS('Нагрузки'!$F$6:$F$37,'Нагрузки'!$A$6:$A$37,A19)</x:f>
        <x:v>0.04</x:v>
      </x:c>
      <x:c r="H19" s="17" t="n">
        <x:f>K20</x:f>
        <x:v>0.030504584615384613</x:v>
      </x:c>
      <x:c r="I19" s="17" t="n">
        <x:f>D19*E19*ABS('Шины'!D19)/(1000*F19)</x:f>
        <x:v>0.06724615384615383</x:v>
      </x:c>
      <x:c r="J19" s="17" t="n">
        <x:f>G19+H19+I19</x:f>
        <x:v>0.13775073846153846</x:v>
      </x:c>
      <x:c r="K19" s="17" t="n">
        <x:f>J19+'Шины'!I19</x:f>
        <x:v>0.14215073846153845</x:v>
      </x:c>
      <x:c r="L19" s="17" t="n">
        <x:f>'Шины'!E19-J19</x:f>
        <x:v>0.8622492615384616</x:v>
      </x:c>
      <x:c r="M19" s="17" t="n">
        <x:f>SUMIFS('Нагрузки'!$F$6:$F$37,'Нагрузки'!$A$6:$A$37,A19,'Нагрузки'!$B$6:$B$37,"Control")+0+B19*E19*ABS('Шины'!D19)/(1000*F19)</x:f>
        <x:v>0.06386153846153847</x:v>
      </x:c>
      <x:c r="N19" s="13" t="str">
        <x:v>Схема: около 13 мс; проверить фактический запуск.</x:v>
      </x:c>
    </x:row>
    <x:row r="20" ht="44" customHeight="1">
      <x:c r="A20" s="9" t="str">
        <x:v>ANA3V3</x:v>
      </x:c>
      <x:c r="B20" s="16" t="n">
        <x:v>1</x:v>
      </x:c>
      <x:c r="C20" s="16" t="n">
        <x:v>47</x:v>
      </x:c>
      <x:c r="D20" s="16" t="n">
        <x:f>B20+C20</x:f>
        <x:v>48</x:v>
      </x:c>
      <x:c r="E20" s="16" t="n">
        <x:f>'Вход'!$C$9</x:f>
        <x:v>1.2</x:v>
      </x:c>
      <x:c r="F20" s="14" t="n">
        <x:v>13</x:v>
      </x:c>
      <x:c r="G20" s="16" t="n">
        <x:f>SUMIFS('Нагрузки'!$F$6:$F$37,'Нагрузки'!$A$6:$A$37,A20)</x:f>
        <x:v>0.001</x:v>
      </x:c>
      <x:c r="H20" s="16" t="n">
        <x:f>K26</x:f>
        <x:v>0.010505200000000001</x:v>
      </x:c>
      <x:c r="I20" s="16" t="n">
        <x:f>D20*E20*ABS('Шины'!D20)/(1000*F20)</x:f>
        <x:v>0.014599384615384613</x:v>
      </x:c>
      <x:c r="J20" s="16" t="n">
        <x:f>G20+H20+I20</x:f>
        <x:v>0.02610458461538461</x:v>
      </x:c>
      <x:c r="K20" s="16" t="n">
        <x:f>J20+'Шины'!I20</x:f>
        <x:v>0.030504584615384613</x:v>
      </x:c>
      <x:c r="L20" s="16" t="n">
        <x:f>'Шины'!E20-J20</x:f>
        <x:v>0.9738954153846154</x:v>
      </x:c>
      <x:c r="M20" s="16" t="n">
        <x:f>SUMIFS('Нагрузки'!$F$6:$F$37,'Нагрузки'!$A$6:$A$37,A20,'Нагрузки'!$B$6:$B$37,"Control")+K26+B20*E20*ABS('Шины'!D20)/(1000*F20)</x:f>
        <x:v>0.010809353846153847</x:v>
      </x:c>
      <x:c r="N20" s="12" t="str">
        <x:v>Схема: около 13 мс; проверить фактический запуск.</x:v>
      </x:c>
    </x:row>
    <x:row r="21" ht="44" customHeight="1">
      <x:c r="A21" s="2" t="str">
        <x:v>P15</x:v>
      </x:c>
      <x:c r="B21" s="17" t="n">
        <x:v>62.90000000000008</x:v>
      </x:c>
      <x:c r="C21" s="17" t="n">
        <x:v>44.09999999999992</x:v>
      </x:c>
      <x:c r="D21" s="17" t="n">
        <x:f>B21+C21</x:f>
        <x:v>107</x:v>
      </x:c>
      <x:c r="E21" s="17" t="n">
        <x:f>'Вход'!$C$9</x:f>
        <x:v>1.2</x:v>
      </x:c>
      <x:c r="F21" s="14" t="n">
        <x:v>5</x:v>
      </x:c>
      <x:c r="G21" s="17" t="n">
        <x:f>SUMIFS('Нагрузки'!$F$6:$F$37,'Нагрузки'!$A$6:$A$37,A21)</x:f>
        <x:v>0.10500000000000001</x:v>
      </x:c>
      <x:c r="H21" s="17" t="n">
        <x:f>K23+K27</x:f>
        <x:v>0.09954583529411765</x:v>
      </x:c>
      <x:c r="I21" s="17" t="n">
        <x:f>D21*E21*ABS('Шины'!D21)/(1000*F21)</x:f>
        <x:v>0.3849443619909502</x:v>
      </x:c>
      <x:c r="J21" s="17" t="n">
        <x:f>G21+H21+I21</x:f>
        <x:v>0.5894901972850679</x:v>
      </x:c>
      <x:c r="K21" s="17" t="n">
        <x:f>ABS('Шины'!D21)*J21/('Вход'!$C$6*'Шины'!H21)+'Шины'!I21</x:f>
        <x:v>0.43318601622881137</x:v>
      </x:c>
      <x:c r="L21" s="17" t="n">
        <x:f>'Шины'!E21-J21</x:f>
        <x:v>0.4105098027149321</x:v>
      </x:c>
      <x:c r="M21" s="17" t="n">
        <x:f>SUMIFS('Нагрузки'!$F$6:$F$37,'Нагрузки'!$A$6:$A$37,A21,'Нагрузки'!$B$6:$B$37,"Control")+K27+B21*E21*ABS('Шины'!D21)/(1000*F21)</x:f>
        <x:v>0.36438972307692336</x:v>
      </x:c>
      <x:c r="N21" s="13" t="str">
        <x:v>D19: 5 мс условно; действительную рампу и порядок EN подтвердить.</x:v>
      </x:c>
    </x:row>
    <x:row r="22" ht="44" customHeight="1">
      <x:c r="A22" s="9" t="str">
        <x:v>N15</x:v>
      </x:c>
      <x:c r="B22" s="16" t="n">
        <x:v>57.90000000000008</x:v>
      </x:c>
      <x:c r="C22" s="16" t="n">
        <x:v>70.99999999999993</x:v>
      </x:c>
      <x:c r="D22" s="16" t="n">
        <x:f>B22+C22</x:f>
        <x:v>128.9</x:v>
      </x:c>
      <x:c r="E22" s="16" t="n">
        <x:f>'Вход'!$C$9</x:f>
        <x:v>1.2</x:v>
      </x:c>
      <x:c r="F22" s="14" t="n">
        <x:v>5</x:v>
      </x:c>
      <x:c r="G22" s="16" t="n">
        <x:f>SUMIFS('Нагрузки'!$F$6:$F$37,'Нагрузки'!$A$6:$A$37,A22)</x:f>
        <x:v>0.10500000000000001</x:v>
      </x:c>
      <x:c r="H22" s="16" t="n">
        <x:f>K24</x:f>
        <x:v>0.06644583529411763</x:v>
      </x:c>
      <x:c r="I22" s="16" t="n">
        <x:f>D22*E22*ABS('Шины'!D22)/(1000*F22)</x:f>
        <x:v>0.4637320398190045</x:v>
      </x:c>
      <x:c r="J22" s="16" t="n">
        <x:f>G22+H22+I22</x:f>
        <x:v>0.6351778751131222</x:v>
      </x:c>
      <x:c r="K22" s="16" t="n">
        <x:f>ABS('Шины'!D22)*J22/('Вход'!$C$6*'Шины'!H22)+'Шины'!I22</x:f>
        <x:v>0.4959283900534386</x:v>
      </x:c>
      <x:c r="L22" s="16" t="n">
        <x:f>'Шины'!E22-J22</x:f>
        <x:v>-0.14521605715524555</x:v>
      </x:c>
      <x:c r="M22" s="16" t="n">
        <x:f>SUMIFS('Нагрузки'!$F$6:$F$37,'Нагрузки'!$A$6:$A$37,A22,'Нагрузки'!$B$6:$B$37,"Control")+0+B22*E22*ABS('Шины'!D22)/(1000*F22)</x:f>
        <x:v>0.3133016687782808</x:v>
      </x:c>
      <x:c r="N22" s="12" t="str">
        <x:v>D19: 5 мс условно; действительную рампу и порядок EN подтвердить.</x:v>
      </x:c>
    </x:row>
    <x:row r="23" ht="44" customHeight="1">
      <x:c r="A23" s="2" t="str">
        <x:v>PROG_P15</x:v>
      </x:c>
      <x:c r="B23" s="17" t="n">
        <x:v>9.6</x:v>
      </x:c>
      <x:c r="C23" s="17" t="n">
        <x:v>4.700000000000001</x:v>
      </x:c>
      <x:c r="D23" s="17" t="n">
        <x:f>B23+C23</x:f>
        <x:v>14.3</x:v>
      </x:c>
      <x:c r="E23" s="17" t="n">
        <x:f>'Вход'!$C$9</x:f>
        <x:v>1.2</x:v>
      </x:c>
      <x:c r="F23" s="14" t="n">
        <x:v>5</x:v>
      </x:c>
      <x:c r="G23" s="17" t="n">
        <x:f>SUMIFS('Нагрузки'!$F$6:$F$37,'Нагрузки'!$A$6:$A$37,A23)</x:f>
        <x:v>0.015</x:v>
      </x:c>
      <x:c r="H23" s="17" t="n">
        <x:f>0</x:f>
        <x:v>0</x:v>
      </x:c>
      <x:c r="I23" s="17" t="n">
        <x:f>D23*E23*ABS('Шины'!D23)/(1000*F23)</x:f>
        <x:v>0.051445835294117635</x:v>
      </x:c>
      <x:c r="J23" s="17" t="n">
        <x:f>G23+H23+I23</x:f>
        <x:v>0.06644583529411763</x:v>
      </x:c>
      <x:c r="K23" s="17" t="n">
        <x:f>J23+'Шины'!I23</x:f>
        <x:v>0.06644583529411763</x:v>
      </x:c>
      <x:c r="L23" s="17" t="str">
        <x:f>"не определён"</x:f>
        <x:v>не определён</x:v>
      </x:c>
      <x:c r="M23" s="17" t="n">
        <x:f>SUMIFS('Нагрузки'!$F$6:$F$37,'Нагрузки'!$A$6:$A$37,A23,'Нагрузки'!$B$6:$B$37,"Control")+0+B23*E23*ABS('Шины'!D23)/(1000*F23)</x:f>
        <x:v>0.04953706425339366</x:v>
      </x:c>
      <x:c r="N23" s="13" t="str">
        <x:v>D19: 5 мс условно; действительную рампу и порядок EN подтвердить.</x:v>
      </x:c>
    </x:row>
    <x:row r="24" ht="44" customHeight="1">
      <x:c r="A24" s="9" t="str">
        <x:v>PROG_N15</x:v>
      </x:c>
      <x:c r="B24" s="16" t="n">
        <x:v>9.6</x:v>
      </x:c>
      <x:c r="C24" s="16" t="n">
        <x:v>4.700000000000001</x:v>
      </x:c>
      <x:c r="D24" s="16" t="n">
        <x:f>B24+C24</x:f>
        <x:v>14.3</x:v>
      </x:c>
      <x:c r="E24" s="16" t="n">
        <x:f>'Вход'!$C$9</x:f>
        <x:v>1.2</x:v>
      </x:c>
      <x:c r="F24" s="14" t="n">
        <x:v>5</x:v>
      </x:c>
      <x:c r="G24" s="16" t="n">
        <x:f>SUMIFS('Нагрузки'!$F$6:$F$37,'Нагрузки'!$A$6:$A$37,A24)</x:f>
        <x:v>0.015</x:v>
      </x:c>
      <x:c r="H24" s="16" t="n">
        <x:f>0</x:f>
        <x:v>0</x:v>
      </x:c>
      <x:c r="I24" s="16" t="n">
        <x:f>D24*E24*ABS('Шины'!D24)/(1000*F24)</x:f>
        <x:v>0.051445835294117635</x:v>
      </x:c>
      <x:c r="J24" s="16" t="n">
        <x:f>G24+H24+I24</x:f>
        <x:v>0.06644583529411763</x:v>
      </x:c>
      <x:c r="K24" s="16" t="n">
        <x:f>J24+'Шины'!I24</x:f>
        <x:v>0.06644583529411763</x:v>
      </x:c>
      <x:c r="L24" s="16" t="str">
        <x:f>"не определён"</x:f>
        <x:v>не определён</x:v>
      </x:c>
      <x:c r="M24" s="16" t="n">
        <x:f>SUMIFS('Нагрузки'!$F$6:$F$37,'Нагрузки'!$A$6:$A$37,A24,'Нагрузки'!$B$6:$B$37,"Control")+0+B24*E24*ABS('Шины'!D24)/(1000*F24)</x:f>
        <x:v>0.04953706425339366</x:v>
      </x:c>
      <x:c r="N24" s="12" t="str">
        <x:v>D19: 5 мс условно; действительную рампу и порядок EN подтвердить.</x:v>
      </x:c>
    </x:row>
    <x:row r="25" ht="44" customHeight="1">
      <x:c r="A25" s="2" t="str">
        <x:v>PHY2V5</x:v>
      </x:c>
      <x:c r="B25" s="17" t="n">
        <x:v>6.8999999999999995</x:v>
      </x:c>
      <x:c r="C25" s="17" t="n">
        <x:v>8.881784197001252e-16</x:v>
      </x:c>
      <x:c r="D25" s="17" t="n">
        <x:f>B25+C25</x:f>
        <x:v>6.9</x:v>
      </x:c>
      <x:c r="E25" s="17" t="n">
        <x:f>'Вход'!$C$9</x:f>
        <x:v>1.2</x:v>
      </x:c>
      <x:c r="F25" s="14" t="n">
        <x:v>5</x:v>
      </x:c>
      <x:c r="G25" s="17" t="n">
        <x:f>SUMIFS('Нагрузки'!$F$6:$F$37,'Нагрузки'!$A$6:$A$37,A25)</x:f>
        <x:v>0.137</x:v>
      </x:c>
      <x:c r="H25" s="17" t="n">
        <x:f>0</x:f>
        <x:v>0</x:v>
      </x:c>
      <x:c r="I25" s="17" t="n">
        <x:f>D25*E25*ABS('Шины'!D25)/(1000*F25)</x:f>
        <x:v>0.00414</x:v>
      </x:c>
      <x:c r="J25" s="17" t="n">
        <x:f>G25+H25+I25</x:f>
        <x:v>0.14114000000000002</x:v>
      </x:c>
      <x:c r="K25" s="17" t="n">
        <x:f>J25+'Шины'!I25</x:f>
        <x:v>0.14117000000000002</x:v>
      </x:c>
      <x:c r="L25" s="17" t="n">
        <x:f>'Шины'!E25-J25</x:f>
        <x:v>0.35885999999999996</x:v>
      </x:c>
      <x:c r="M25" s="17" t="n">
        <x:f>SUMIFS('Нагрузки'!$F$6:$F$37,'Нагрузки'!$A$6:$A$37,A25,'Нагрузки'!$B$6:$B$37,"Control")+0+B25*E25*ABS('Шины'!D25)/(1000*F25)</x:f>
        <x:v>0.14114000000000002</x:v>
      </x:c>
      <x:c r="N25" s="13" t="str">
        <x:v>D19: 5 мс условно; действительную рампу и порядок EN подтвердить.</x:v>
      </x:c>
    </x:row>
    <x:row r="26" ht="44" customHeight="1">
      <x:c r="A26" s="9" t="str">
        <x:v>MAT_ADC_1V8</x:v>
      </x:c>
      <x:c r="B26" s="16" t="n">
        <x:v>1.1</x:v>
      </x:c>
      <x:c r="C26" s="16" t="n">
        <x:v>0</x:v>
      </x:c>
      <x:c r="D26" s="16" t="n">
        <x:f>B26+C26</x:f>
        <x:v>1.1</x:v>
      </x:c>
      <x:c r="E26" s="16" t="n">
        <x:f>'Вход'!$C$9</x:f>
        <x:v>1.2</x:v>
      </x:c>
      <x:c r="F26" s="14" t="n">
        <x:v>5</x:v>
      </x:c>
      <x:c r="G26" s="16" t="n">
        <x:f>SUMIFS('Нагрузки'!$F$6:$F$37,'Нагрузки'!$A$6:$A$37,A26)</x:f>
        <x:v>0.01</x:v>
      </x:c>
      <x:c r="H26" s="16" t="n">
        <x:f>0</x:f>
        <x:v>0</x:v>
      </x:c>
      <x:c r="I26" s="16" t="n">
        <x:f>D26*E26*ABS('Шины'!D26)/(1000*F26)</x:f>
        <x:v>0.00047520000000000006</x:v>
      </x:c>
      <x:c r="J26" s="16" t="n">
        <x:f>G26+H26+I26</x:f>
        <x:v>0.0104752</x:v>
      </x:c>
      <x:c r="K26" s="16" t="n">
        <x:f>J26+'Шины'!I26</x:f>
        <x:v>0.010505200000000001</x:v>
      </x:c>
      <x:c r="L26" s="16" t="n">
        <x:f>'Шины'!E26-J26</x:f>
        <x:v>0.4895248</x:v>
      </x:c>
      <x:c r="M26" s="16" t="n">
        <x:f>SUMIFS('Нагрузки'!$F$6:$F$37,'Нагрузки'!$A$6:$A$37,A26,'Нагрузки'!$B$6:$B$37,"Control")+0+B26*E26*ABS('Шины'!D26)/(1000*F26)</x:f>
        <x:v>0.0104752</x:v>
      </x:c>
      <x:c r="N26" s="12" t="str">
        <x:v>D19: 5 мс условно; действительную рампу и порядок EN подтвердить.</x:v>
      </x:c>
    </x:row>
    <x:row r="27" ht="44" customHeight="1">
      <x:c r="A27" s="2" t="str">
        <x:v>MAT_REF_PRE12</x:v>
      </x:c>
      <x:c r="B27" s="17" t="n">
        <x:v>2</x:v>
      </x:c>
      <x:c r="C27" s="17" t="n">
        <x:v>0</x:v>
      </x:c>
      <x:c r="D27" s="17" t="n">
        <x:f>B27+C27</x:f>
        <x:v>2</x:v>
      </x:c>
      <x:c r="E27" s="17" t="n">
        <x:f>'Вход'!$C$9</x:f>
        <x:v>1.2</x:v>
      </x:c>
      <x:c r="F27" s="14" t="n">
        <x:v>5</x:v>
      </x:c>
      <x:c r="G27" s="17" t="n">
        <x:f>SUMIFS('Нагрузки'!$F$6:$F$37,'Нагрузки'!$A$6:$A$37,A27)</x:f>
        <x:v>0.002</x:v>
      </x:c>
      <x:c r="H27" s="17" t="n">
        <x:f>K28</x:f>
        <x:v>0.025240000000000005</x:v>
      </x:c>
      <x:c r="I27" s="17" t="n">
        <x:f>D27*E27*ABS('Шины'!D27)/(1000*F27)</x:f>
        <x:v>0.0057599999999999995</x:v>
      </x:c>
      <x:c r="J27" s="17" t="n">
        <x:f>G27+H27+I27</x:f>
        <x:v>0.03300000000000001</x:v>
      </x:c>
      <x:c r="K27" s="17" t="n">
        <x:f>J27+'Шины'!I27</x:f>
        <x:v>0.03310000000000001</x:v>
      </x:c>
      <x:c r="L27" s="17" t="n">
        <x:f>'Шины'!E27-J27</x:f>
        <x:v>0.067</x:v>
      </x:c>
      <x:c r="M27" s="17" t="n">
        <x:f>SUMIFS('Нагрузки'!$F$6:$F$37,'Нагрузки'!$A$6:$A$37,A27,'Нагрузки'!$B$6:$B$37,"Control")+K28+B27*E27*ABS('Шины'!D27)/(1000*F27)</x:f>
        <x:v>0.03300000000000001</x:v>
      </x:c>
      <x:c r="N27" s="13" t="str">
        <x:v>D19: 5 мс условно; действительную рампу и порядок EN подтвердить.</x:v>
      </x:c>
    </x:row>
    <x:row r="28" ht="44" customHeight="1">
      <x:c r="A28" s="9" t="str">
        <x:v>MAT_ADC_REF</x:v>
      </x:c>
      <x:c r="B28" s="16" t="n">
        <x:v>20.200000000000003</x:v>
      </x:c>
      <x:c r="C28" s="16" t="n">
        <x:v>0</x:v>
      </x:c>
      <x:c r="D28" s="16" t="n">
        <x:f>B28+C28</x:f>
        <x:v>20.200000000000003</x:v>
      </x:c>
      <x:c r="E28" s="16" t="n">
        <x:f>'Вход'!$C$9</x:f>
        <x:v>1.2</x:v>
      </x:c>
      <x:c r="F28" s="14" t="n">
        <x:v>5</x:v>
      </x:c>
      <x:c r="G28" s="16" t="n">
        <x:f>SUMIFS('Нагрузки'!$F$6:$F$37,'Нагрузки'!$A$6:$A$37,A28)</x:f>
        <x:v>0.001</x:v>
      </x:c>
      <x:c r="H28" s="16" t="n">
        <x:f>0</x:f>
        <x:v>0</x:v>
      </x:c>
      <x:c r="I28" s="16" t="n">
        <x:f>D28*E28*ABS('Шины'!D28)/(1000*F28)</x:f>
        <x:v>0.024240000000000005</x:v>
      </x:c>
      <x:c r="J28" s="16" t="n">
        <x:f>G28+H28+I28</x:f>
        <x:v>0.025240000000000005</x:v>
      </x:c>
      <x:c r="K28" s="16" t="n">
        <x:f>J28+'Шины'!I28</x:f>
        <x:v>0.025240000000000005</x:v>
      </x:c>
      <x:c r="L28" s="16" t="str">
        <x:f>"не определён"</x:f>
        <x:v>не определён</x:v>
      </x:c>
      <x:c r="M28" s="16" t="n">
        <x:f>SUMIFS('Нагрузки'!$F$6:$F$37,'Нагрузки'!$A$6:$A$37,A28,'Нагрузки'!$B$6:$B$37,"Control")+0+B28*E28*ABS('Шины'!D28)/(1000*F28)</x:f>
        <x:v>0.025240000000000005</x:v>
      </x:c>
      <x:c r="N28" s="12" t="str">
        <x:v>D19: 5 мс условно; действительную рампу и порядок EN подтвердить.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</x:sheetData>
  <x:conditionalFormatting sqref="L6:L28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37C95"/>
  </x:sheetPr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14" hidden="0" customWidth="1"/>
    <x:col min="4" max="4" width="18" hidden="0" customWidth="1"/>
    <x:col min="5" max="5" width="20" hidden="0" customWidth="1"/>
    <x:col min="6" max="6" width="21" hidden="0" customWidth="1"/>
    <x:col min="7" max="7" width="20" hidden="0" customWidth="1"/>
    <x:col min="8" max="8" width="24" hidden="0" customWidth="1"/>
    <x:col min="9" max="9" width="21" hidden="0" customWidth="1"/>
    <x:col min="10" max="10" width="21" hidden="0" customWidth="1"/>
    <x:col min="11" max="11" width="22" hidden="0" customWidth="1"/>
    <x:col min="12" max="12" width="24" hidden="0" customWidth="1"/>
    <x:col min="13" max="13" width="24" hidden="0" customWidth="1"/>
    <x:col min="14" max="1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Контакты питания и возврата GND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Параметры тока и сопротивления заданы на листе «Вход». Конкретная пара разъёмов и паспортный ток не утверждены.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0" customHeight="1">
      <x:c r="A5" s="8" t="str">
        <x:v>Шина</x:v>
      </x:c>
      <x:c r="B5" s="8" t="str">
        <x:v>Контакты J400</x:v>
      </x:c>
      <x:c r="C5" s="8" t="str">
        <x:v>N питания</x:v>
      </x:c>
      <x:c r="D5" s="8" t="str">
        <x:v>N GND в модели</x:v>
      </x:c>
      <x:c r="E5" s="8" t="str">
        <x:v>Пик Control, А</x:v>
      </x:c>
      <x:c r="F5" s="8" t="str">
        <x:v>Пуск Control, А</x:v>
      </x:c>
      <x:c r="G5" s="8" t="str">
        <x:v>Расчётный ток, А</x:v>
      </x:c>
      <x:c r="H5" s="8" t="str">
        <x:v>На худший контакт, А</x:v>
      </x:c>
      <x:c r="I5" s="8" t="str">
        <x:v>N по заданному бюджету</x:v>
      </x:c>
      <x:c r="J5" s="8" t="str">
        <x:v>Петля пути, мОм</x:v>
      </x:c>
      <x:c r="K5" s="8" t="str">
        <x:v>Падение пути, мВ</x:v>
      </x:c>
      <x:c r="L5" s="8" t="str">
        <x:v>Доступно на путь, мВ</x:v>
      </x:c>
      <x:c r="M5" s="8" t="str">
        <x:v>Запас по падению, мВ</x:v>
      </x:c>
      <x:c r="N5" s="8" t="str">
        <x:v>Статус / следующий шаг</x:v>
      </x:c>
    </x:row>
    <x:row r="6" ht="47" customHeight="1">
      <x:c r="A6" s="9" t="str">
        <x:v>AON</x:v>
      </x:c>
      <x:c r="B6" s="9" t="str">
        <x:v>1</x:v>
      </x:c>
      <x:c r="C6" s="9" t="n">
        <x:v>1</x:v>
      </x:c>
      <x:c r="D6" s="10" t="n">
        <x:v>1</x:v>
      </x:c>
      <x:c r="E6" s="16" t="n">
        <x:f>SUMIFS('Нагрузки'!$E$6:$E$37,'Нагрузки'!$A$6:$A$37,A6,'Нагрузки'!$B$6:$B$37,"Control")+0</x:f>
        <x:v>0.005</x:v>
      </x:c>
      <x:c r="F6" s="16" t="n">
        <x:f>'Пуск'!M6</x:f>
        <x:v>0.001</x:v>
      </x:c>
      <x:c r="G6" s="16" t="n">
        <x:f>MAX(E6,F6)</x:f>
        <x:v>0.005</x:v>
      </x:c>
      <x:c r="H6" s="16" t="n">
        <x:f>G6/C6*'Вход'!$C$14</x:f>
        <x:v>0.00625</x:v>
      </x:c>
      <x:c r="I6" s="20" t="n">
        <x:f>ROUNDUP(G6*'Вход'!$C$14/'Вход'!$C$15,0)</x:f>
        <x:v>1</x:v>
      </x:c>
      <x:c r="J6" s="16" t="n">
        <x:f>'Вход'!$C$12/C6+'Вход'!$C$12/D6+'Вход'!$C$13</x:f>
        <x:v>25</x:v>
      </x:c>
      <x:c r="K6" s="16" t="n">
        <x:f>E6*J6</x:f>
        <x:v>0.125</x:v>
      </x:c>
      <x:c r="L6" s="16" t="n">
        <x:f>(ABS('Шины'!D6)*(1-'Вход'!$C$10)-'Шины'!T6-'Вход'!$C$11-'Шины'!O6*'Шины'!F6)*1000</x:f>
        <x:v>33.80000000000001</x:v>
      </x:c>
      <x:c r="M6" s="16" t="n">
        <x:f>L6-K6</x:f>
        <x:v>33.67500000000001</x:v>
      </x:c>
      <x:c r="N6" s="12" t="str">
        <x:v>MPN пары, многоконтактная токовая характеристика и реальные сопротивления пока не заданы.</x:v>
      </x:c>
    </x:row>
    <x:row r="7" ht="47" customHeight="1">
      <x:c r="A7" s="2" t="str">
        <x:v>SYS3V3</x:v>
      </x:c>
      <x:c r="B7" s="2" t="str">
        <x:v>3, 5</x:v>
      </x:c>
      <x:c r="C7" s="2" t="n">
        <x:v>2</x:v>
      </x:c>
      <x:c r="D7" s="10" t="n">
        <x:v>2</x:v>
      </x:c>
      <x:c r="E7" s="17" t="n">
        <x:f>SUMIFS('Нагрузки'!$E$6:$E$37,'Нагрузки'!$A$6:$A$37,A7,'Нагрузки'!$B$6:$B$37,"Control")+0</x:f>
        <x:v>0.8800000000000001</x:v>
      </x:c>
      <x:c r="F7" s="17" t="n">
        <x:f>'Пуск'!M7</x:f>
        <x:v>0.1733097777777778</x:v>
      </x:c>
      <x:c r="G7" s="17" t="n">
        <x:f>MAX(E7,F7)</x:f>
        <x:v>0.8800000000000001</x:v>
      </x:c>
      <x:c r="H7" s="17" t="n">
        <x:f>G7/C7*'Вход'!$C$14</x:f>
        <x:v>0.55</x:v>
      </x:c>
      <x:c r="I7" s="21" t="n">
        <x:f>ROUNDUP(G7*'Вход'!$C$14/'Вход'!$C$15,0)</x:f>
        <x:v>2</x:v>
      </x:c>
      <x:c r="J7" s="17" t="n">
        <x:f>'Вход'!$C$12/C7+'Вход'!$C$12/D7+'Вход'!$C$13</x:f>
        <x:v>15</x:v>
      </x:c>
      <x:c r="K7" s="17" t="n">
        <x:f>E7*J7</x:f>
        <x:v>13.200000000000001</x:v>
      </x:c>
      <x:c r="L7" s="17" t="n">
        <x:f>(ABS('Шины'!D7)*(1-'Вход'!$C$10)-'Шины'!T7-'Вход'!$C$11-'Шины'!O7*'Шины'!F7)*1000</x:f>
        <x:v>229.51851851851856</x:v>
      </x:c>
      <x:c r="M7" s="17" t="n">
        <x:f>L7-K7</x:f>
        <x:v>216.31851851851857</x:v>
      </x:c>
      <x:c r="N7" s="13" t="str">
        <x:v>MPN пары, многоконтактная токовая характеристика и реальные сопротивления пока не заданы.</x:v>
      </x:c>
    </x:row>
    <x:row r="8" ht="47" customHeight="1">
      <x:c r="A8" s="9" t="str">
        <x:v>USB5</x:v>
      </x:c>
      <x:c r="B8" s="9" t="str">
        <x:v>49</x:v>
      </x:c>
      <x:c r="C8" s="9" t="n">
        <x:v>1</x:v>
      </x:c>
      <x:c r="D8" s="10" t="n">
        <x:v>1</x:v>
      </x:c>
      <x:c r="E8" s="16" t="n">
        <x:f>SUMIFS('Нагрузки'!$E$6:$E$37,'Нагрузки'!$A$6:$A$37,A8,'Нагрузки'!$B$6:$B$37,"Control")+0</x:f>
        <x:v>0.05</x:v>
      </x:c>
      <x:c r="F8" s="16" t="n">
        <x:f>'Пуск'!M8</x:f>
        <x:v>0.02012</x:v>
      </x:c>
      <x:c r="G8" s="16" t="n">
        <x:f>MAX(E8,F8)</x:f>
        <x:v>0.05</x:v>
      </x:c>
      <x:c r="H8" s="16" t="n">
        <x:f>G8/C8*'Вход'!$C$14</x:f>
        <x:v>0.0625</x:v>
      </x:c>
      <x:c r="I8" s="20" t="n">
        <x:f>ROUNDUP(G8*'Вход'!$C$14/'Вход'!$C$15,0)</x:f>
        <x:v>1</x:v>
      </x:c>
      <x:c r="J8" s="16" t="n">
        <x:f>'Вход'!$C$12/C8+'Вход'!$C$12/D8+'Вход'!$C$13</x:f>
        <x:v>25</x:v>
      </x:c>
      <x:c r="K8" s="16" t="n">
        <x:f>E8*J8</x:f>
        <x:v>1.25</x:v>
      </x:c>
      <x:c r="L8" s="16" t="n">
        <x:f>(ABS('Шины'!D8)*(1-'Вход'!$C$10)-'Шины'!T8-'Вход'!$C$11-'Шины'!O8*'Шины'!F8)*1000</x:f>
        <x:v>137.50000000000034</x:v>
      </x:c>
      <x:c r="M8" s="16" t="n">
        <x:f>L8-K8</x:f>
        <x:v>136.25000000000034</x:v>
      </x:c>
      <x:c r="N8" s="12" t="str">
        <x:v>MPN пары, многоконтактная токовая характеристика и реальные сопротивления пока не заданы.</x:v>
      </x:c>
    </x:row>
    <x:row r="9" ht="47" customHeight="1">
      <x:c r="A9" s="2" t="str">
        <x:v>CORE1V0</x:v>
      </x:c>
      <x:c r="B9" s="2" t="str">
        <x:v>13, 15, 17, 19</x:v>
      </x:c>
      <x:c r="C9" s="2" t="n">
        <x:v>4</x:v>
      </x:c>
      <x:c r="D9" s="10" t="n">
        <x:v>4</x:v>
      </x:c>
      <x:c r="E9" s="17" t="n">
        <x:f>SUMIFS('Нагрузки'!$E$6:$E$37,'Нагрузки'!$A$6:$A$37,A9,'Нагрузки'!$B$6:$B$37,"Control")+0</x:f>
        <x:v>4</x:v>
      </x:c>
      <x:c r="F9" s="17" t="n">
        <x:f>'Пуск'!M10</x:f>
        <x:v>1.464260974545455</x:v>
      </x:c>
      <x:c r="G9" s="17" t="n">
        <x:f>MAX(E9,F9)</x:f>
        <x:v>4</x:v>
      </x:c>
      <x:c r="H9" s="17" t="n">
        <x:f>G9/C9*'Вход'!$C$14</x:f>
        <x:v>1.25</x:v>
      </x:c>
      <x:c r="I9" s="21" t="n">
        <x:f>ROUNDUP(G9*'Вход'!$C$14/'Вход'!$C$15,0)</x:f>
        <x:v>5</x:v>
      </x:c>
      <x:c r="J9" s="17" t="n">
        <x:f>'Вход'!$C$12/C9+'Вход'!$C$12/D9+'Вход'!$C$13</x:f>
        <x:v>10</x:v>
      </x:c>
      <x:c r="K9" s="17" t="n">
        <x:f>E9*J9</x:f>
        <x:v>40</x:v>
      </x:c>
      <x:c r="L9" s="17" t="n">
        <x:f>(ABS('Шины'!D10)*(1-'Вход'!$C$10)-'Шины'!T10-'Вход'!$C$11-'Шины'!O10*'Шины'!F10)*1000</x:f>
        <x:v>19.839999999999982</x:v>
      </x:c>
      <x:c r="M9" s="17" t="n">
        <x:f>L9-K9</x:f>
        <x:v>-20.160000000000018</x:v>
      </x:c>
      <x:c r="N9" s="13" t="str">
        <x:v>MPN пары, многоконтактная токовая характеристика и реальные сопротивления пока не заданы.</x:v>
      </x:c>
    </x:row>
    <x:row r="10" ht="47" customHeight="1">
      <x:c r="A10" s="9" t="str">
        <x:v>AUX1V8</x:v>
      </x:c>
      <x:c r="B10" s="9" t="str">
        <x:v>21, 23</x:v>
      </x:c>
      <x:c r="C10" s="9" t="n">
        <x:v>2</x:v>
      </x:c>
      <x:c r="D10" s="10" t="n">
        <x:v>2</x:v>
      </x:c>
      <x:c r="E10" s="16" t="n">
        <x:f>SUMIFS('Нагрузки'!$E$6:$E$37,'Нагрузки'!$A$6:$A$37,A10,'Нагрузки'!$B$6:$B$37,"Control")+0</x:f>
        <x:v>0.3</x:v>
      </x:c>
      <x:c r="F10" s="16" t="n">
        <x:f>'Пуск'!M11</x:f>
        <x:v>0.1774104</x:v>
      </x:c>
      <x:c r="G10" s="16" t="n">
        <x:f>MAX(E10,F10)</x:f>
        <x:v>0.3</x:v>
      </x:c>
      <x:c r="H10" s="16" t="n">
        <x:f>G10/C10*'Вход'!$C$14</x:f>
        <x:v>0.1875</x:v>
      </x:c>
      <x:c r="I10" s="20" t="n">
        <x:f>ROUNDUP(G10*'Вход'!$C$14/'Вход'!$C$15,0)</x:f>
        <x:v>1</x:v>
      </x:c>
      <x:c r="J10" s="16" t="n">
        <x:f>'Вход'!$C$12/C10+'Вход'!$C$12/D10+'Вход'!$C$13</x:f>
        <x:v>15</x:v>
      </x:c>
      <x:c r="K10" s="16" t="n">
        <x:f>E10*J10</x:f>
        <x:v>4.5</x:v>
      </x:c>
      <x:c r="L10" s="16" t="n">
        <x:f>(ABS('Шины'!D11)*(1-'Вход'!$C$10)-'Шины'!T11-'Вход'!$C$11-'Шины'!O11*'Шины'!F11)*1000</x:f>
        <x:v>38.00000000000005</x:v>
      </x:c>
      <x:c r="M10" s="16" t="n">
        <x:f>L10-K10</x:f>
        <x:v>33.50000000000005</x:v>
      </x:c>
      <x:c r="N10" s="12" t="str">
        <x:v>MPN пары, многоконтактная токовая характеристика и реальные сопротивления пока не заданы.</x:v>
      </x:c>
    </x:row>
    <x:row r="11" ht="47" customHeight="1">
      <x:c r="A11" s="2" t="str">
        <x:v>IO3V3</x:v>
      </x:c>
      <x:c r="B11" s="2" t="str">
        <x:v>7, 9, 11</x:v>
      </x:c>
      <x:c r="C11" s="2" t="n">
        <x:v>3</x:v>
      </x:c>
      <x:c r="D11" s="10" t="n">
        <x:v>3</x:v>
      </x:c>
      <x:c r="E11" s="17" t="n">
        <x:f>SUMIFS('Нагрузки'!$E$6:$E$37,'Нагрузки'!$A$6:$A$37,A11,'Нагрузки'!$B$6:$B$37,"Control")+'Шины'!Q25</x:f>
        <x:v>1.19003</x:v>
      </x:c>
      <x:c r="F11" s="17" t="n">
        <x:f>'Пуск'!M13</x:f>
        <x:v>0.8757401880000002</x:v>
      </x:c>
      <x:c r="G11" s="17" t="n">
        <x:f>MAX(E11,F11)</x:f>
        <x:v>1.19003</x:v>
      </x:c>
      <x:c r="H11" s="17" t="n">
        <x:f>G11/C11*'Вход'!$C$14</x:f>
        <x:v>0.49584583333333326</x:v>
      </x:c>
      <x:c r="I11" s="21" t="n">
        <x:f>ROUNDUP(G11*'Вход'!$C$14/'Вход'!$C$15,0)</x:f>
        <x:v>2</x:v>
      </x:c>
      <x:c r="J11" s="17" t="n">
        <x:f>'Вход'!$C$12/C11+'Вход'!$C$12/D11+'Вход'!$C$13</x:f>
        <x:v>11.666666666666668</x:v>
      </x:c>
      <x:c r="K11" s="17" t="n">
        <x:f>E11*J11</x:f>
        <x:v>13.883683333333334</x:v>
      </x:c>
      <x:c r="L11" s="17" t="n">
        <x:f>(ABS('Шины'!D13)*(1-'Вход'!$C$10)-'Шины'!T13-'Вход'!$C$11-'Шины'!O13*'Шины'!F13)*1000</x:f>
        <x:v>45.299399999999956</x:v>
      </x:c>
      <x:c r="M11" s="17" t="n">
        <x:f>L11-K11</x:f>
        <x:v>31.415716666666622</x:v>
      </x:c>
      <x:c r="N11" s="13" t="str">
        <x:v>MPN пары, многоконтактная токовая характеристика и реальные сопротивления пока не заданы.</x:v>
      </x:c>
    </x:row>
    <x:row r="12" ht="47" customHeight="1">
      <x:c r="A12" s="9" t="str">
        <x:v>DDR1V35</x:v>
      </x:c>
      <x:c r="B12" s="9" t="str">
        <x:v>25, 27, 29</x:v>
      </x:c>
      <x:c r="C12" s="9" t="n">
        <x:v>3</x:v>
      </x:c>
      <x:c r="D12" s="10" t="n">
        <x:v>3</x:v>
      </x:c>
      <x:c r="E12" s="16" t="n">
        <x:f>SUMIFS('Нагрузки'!$E$6:$E$37,'Нагрузки'!$A$6:$A$37,A12,'Нагрузки'!$B$6:$B$37,"Control")+0</x:f>
        <x:v>0.8</x:v>
      </x:c>
      <x:c r="F12" s="16" t="n">
        <x:f>'Пуск'!M14</x:f>
        <x:v>0.19565807999999996</x:v>
      </x:c>
      <x:c r="G12" s="16" t="n">
        <x:f>MAX(E12,F12)</x:f>
        <x:v>0.8</x:v>
      </x:c>
      <x:c r="H12" s="16" t="n">
        <x:f>G12/C12*'Вход'!$C$14</x:f>
        <x:v>0.3333333333333333</x:v>
      </x:c>
      <x:c r="I12" s="20" t="n">
        <x:f>ROUNDUP(G12*'Вход'!$C$14/'Вход'!$C$15,0)</x:f>
        <x:v>1</x:v>
      </x:c>
      <x:c r="J12" s="16" t="n">
        <x:f>'Вход'!$C$12/C12+'Вход'!$C$12/D12+'Вход'!$C$13</x:f>
        <x:v>11.666666666666668</x:v>
      </x:c>
      <x:c r="K12" s="16" t="n">
        <x:f>E12*J12</x:f>
        <x:v>9.333333333333334</x:v>
      </x:c>
      <x:c r="L12" s="16" t="n">
        <x:f>(ABS('Шины'!D14)*(1-'Вход'!$C$10)-'Шины'!T14-'Вход'!$C$11-'Шины'!O14*'Шины'!F14)*1000</x:f>
        <x:v>19.388777555110195</x:v>
      </x:c>
      <x:c r="M12" s="16" t="n">
        <x:f>L12-K12</x:f>
        <x:v>10.055444221776861</x:v>
      </x:c>
      <x:c r="N12" s="12" t="str">
        <x:v>MPN пары, многоконтактная токовая характеристика и реальные сопротивления пока не заданы.</x:v>
      </x:c>
    </x:row>
    <x:row r="13" ht="47" customHeight="1">
      <x:c r="A13" s="2" t="str">
        <x:v>PHY1V05</x:v>
      </x:c>
      <x:c r="B13" s="2" t="str">
        <x:v>35</x:v>
      </x:c>
      <x:c r="C13" s="2" t="n">
        <x:v>1</x:v>
      </x:c>
      <x:c r="D13" s="10" t="n">
        <x:v>1</x:v>
      </x:c>
      <x:c r="E13" s="17" t="n">
        <x:f>SUMIFS('Нагрузки'!$E$6:$E$37,'Нагрузки'!$A$6:$A$37,A13,'Нагрузки'!$B$6:$B$37,"Control")+0</x:f>
        <x:v>0.2</x:v>
      </x:c>
      <x:c r="F13" s="17" t="n">
        <x:f>'Пуск'!M15</x:f>
        <x:v>0.110292108</x:v>
      </x:c>
      <x:c r="G13" s="17" t="n">
        <x:f>MAX(E13,F13)</x:f>
        <x:v>0.2</x:v>
      </x:c>
      <x:c r="H13" s="17" t="n">
        <x:f>G13/C13*'Вход'!$C$14</x:f>
        <x:v>0.25</x:v>
      </x:c>
      <x:c r="I13" s="21" t="n">
        <x:f>ROUNDUP(G13*'Вход'!$C$14/'Вход'!$C$15,0)</x:f>
        <x:v>1</x:v>
      </x:c>
      <x:c r="J13" s="17" t="n">
        <x:f>'Вход'!$C$12/C13+'Вход'!$C$12/D13+'Вход'!$C$13</x:f>
        <x:v>25</x:v>
      </x:c>
      <x:c r="K13" s="17" t="n">
        <x:f>E13*J13</x:f>
        <x:v>5</x:v>
      </x:c>
      <x:c r="L13" s="17" t="n">
        <x:f>(ABS('Шины'!D15)*(1-'Вход'!$C$10)-'Шины'!T15-'Вход'!$C$11-'Шины'!O15*'Шины'!F15)*1000</x:f>
        <x:v>64.51000000000008</x:v>
      </x:c>
      <x:c r="M13" s="17" t="n">
        <x:f>L13-K13</x:f>
        <x:v>59.510000000000076</x:v>
      </x:c>
      <x:c r="N13" s="13" t="str">
        <x:v>MPN пары, многоконтактная токовая характеристика и реальные сопротивления пока не заданы.</x:v>
      </x:c>
    </x:row>
    <x:row r="14" ht="47" customHeight="1">
      <x:c r="A14" s="9" t="str">
        <x:v>VTT</x:v>
      </x:c>
      <x:c r="B14" s="9" t="str">
        <x:v>31</x:v>
      </x:c>
      <x:c r="C14" s="9" t="n">
        <x:v>1</x:v>
      </x:c>
      <x:c r="D14" s="10" t="n">
        <x:v>1</x:v>
      </x:c>
      <x:c r="E14" s="16" t="n">
        <x:f>SUMIFS('Нагрузки'!$E$6:$E$37,'Нагрузки'!$A$6:$A$37,A14,'Нагрузки'!$B$6:$B$37,"Control")+0</x:f>
        <x:v>0.31112224448897796</x:v>
      </x:c>
      <x:c r="F14" s="16" t="n">
        <x:f>'Пуск'!M16</x:f>
        <x:v>0.02</x:v>
      </x:c>
      <x:c r="G14" s="16" t="n">
        <x:f>MAX(E14,F14)</x:f>
        <x:v>0.31112224448897796</x:v>
      </x:c>
      <x:c r="H14" s="16" t="n">
        <x:f>G14/C14*'Вход'!$C$14</x:f>
        <x:v>0.3889028056112225</x:v>
      </x:c>
      <x:c r="I14" s="20" t="n">
        <x:f>ROUNDUP(G14*'Вход'!$C$14/'Вход'!$C$15,0)</x:f>
        <x:v>1</x:v>
      </x:c>
      <x:c r="J14" s="16" t="n">
        <x:f>'Вход'!$C$12/C14+'Вход'!$C$12/D14+'Вход'!$C$13</x:f>
        <x:v>25</x:v>
      </x:c>
      <x:c r="K14" s="16" t="n">
        <x:f>E14*J14</x:f>
        <x:v>7.778056112224449</x:v>
      </x:c>
      <x:c r="L14" s="16" t="str">
        <x:v>tracking</x:v>
      </x:c>
      <x:c r="M14" s="16" t="str">
        <x:v>проверить отдельно</x:v>
      </x:c>
      <x:c r="N14" s="12" t="str">
        <x:v>Проверить source/sink, sense на нагрузке и tracking относительно DDR_VREF.</x:v>
      </x:c>
    </x:row>
    <x:row r="15" ht="47" customHeight="1">
      <x:c r="A15" s="2" t="str">
        <x:v>DDR_VREF</x:v>
      </x:c>
      <x:c r="B15" s="2" t="str">
        <x:v>33</x:v>
      </x:c>
      <x:c r="C15" s="2" t="n">
        <x:v>1</x:v>
      </x:c>
      <x:c r="D15" s="10" t="n">
        <x:v>1</x:v>
      </x:c>
      <x:c r="E15" s="17" t="n">
        <x:f>SUMIFS('Нагрузки'!$E$6:$E$37,'Нагрузки'!$A$6:$A$37,A15,'Нагрузки'!$B$6:$B$37,"Control")+0</x:f>
        <x:v>0.001</x:v>
      </x:c>
      <x:c r="F15" s="17" t="n">
        <x:f>'Пуск'!M17</x:f>
        <x:v>0.0001648</x:v>
      </x:c>
      <x:c r="G15" s="17" t="n">
        <x:f>MAX(E15,F15)</x:f>
        <x:v>0.001</x:v>
      </x:c>
      <x:c r="H15" s="17" t="n">
        <x:f>G15/C15*'Вход'!$C$14</x:f>
        <x:v>0.00125</x:v>
      </x:c>
      <x:c r="I15" s="21" t="n">
        <x:f>ROUNDUP(G15*'Вход'!$C$14/'Вход'!$C$15,0)</x:f>
        <x:v>1</x:v>
      </x:c>
      <x:c r="J15" s="17" t="n">
        <x:f>'Вход'!$C$12/C15+'Вход'!$C$12/D15+'Вход'!$C$13</x:f>
        <x:v>25</x:v>
      </x:c>
      <x:c r="K15" s="17" t="n">
        <x:f>E15*J15</x:f>
        <x:v>0.025</x:v>
      </x:c>
      <x:c r="L15" s="17" t="str">
        <x:v>tracking</x:v>
      </x:c>
      <x:c r="M15" s="17" t="str">
        <x:v>проверить отдельно</x:v>
      </x:c>
      <x:c r="N15" s="13" t="str">
        <x:v>Опорная цепь: проверить tracking и шум; ток контакта не определяет качество.</x:v>
      </x:c>
    </x:row>
    <x:row r="16" ht="47" customHeight="1">
      <x:c r="A16" s="9" t="str">
        <x:v>ANA5</x:v>
      </x:c>
      <x:c r="B16" s="9" t="str">
        <x:v>37</x:v>
      </x:c>
      <x:c r="C16" s="9" t="n">
        <x:v>1</x:v>
      </x:c>
      <x:c r="D16" s="10" t="n">
        <x:v>1</x:v>
      </x:c>
      <x:c r="E16" s="16" t="n">
        <x:f>SUMIFS('Нагрузки'!$E$6:$E$37,'Нагрузки'!$A$6:$A$37,A16,'Нагрузки'!$B$6:$B$37,"Control")+0</x:f>
        <x:v>0.15</x:v>
      </x:c>
      <x:c r="F16" s="16" t="n">
        <x:f>'Пуск'!M19</x:f>
        <x:v>0.06386153846153847</x:v>
      </x:c>
      <x:c r="G16" s="16" t="n">
        <x:f>MAX(E16,F16)</x:f>
        <x:v>0.15</x:v>
      </x:c>
      <x:c r="H16" s="16" t="n">
        <x:f>G16/C16*'Вход'!$C$14</x:f>
        <x:v>0.1875</x:v>
      </x:c>
      <x:c r="I16" s="20" t="n">
        <x:f>ROUNDUP(G16*'Вход'!$C$14/'Вход'!$C$15,0)</x:f>
        <x:v>1</x:v>
      </x:c>
      <x:c r="J16" s="16" t="n">
        <x:f>'Вход'!$C$12/C16+'Вход'!$C$12/D16+'Вход'!$C$13</x:f>
        <x:v>25</x:v>
      </x:c>
      <x:c r="K16" s="16" t="n">
        <x:f>E16*J16</x:f>
        <x:v>3.75</x:v>
      </x:c>
      <x:c r="L16" s="16" t="n">
        <x:f>(ABS('Шины'!D19)*(1-'Вход'!$C$10)-'Шины'!T19-'Вход'!$C$11-'Шины'!O19*'Шины'!F19)*1000</x:f>
        <x:v>129.67850000000033</x:v>
      </x:c>
      <x:c r="M16" s="16" t="n">
        <x:f>L16-K16</x:f>
        <x:v>125.92850000000033</x:v>
      </x:c>
      <x:c r="N16" s="12" t="str">
        <x:v>MPN пары, многоконтактная токовая характеристика и реальные сопротивления пока не заданы.</x:v>
      </x:c>
    </x:row>
    <x:row r="17" ht="47" customHeight="1">
      <x:c r="A17" s="2" t="str">
        <x:v>ANA3V3</x:v>
      </x:c>
      <x:c r="B17" s="2" t="str">
        <x:v>39</x:v>
      </x:c>
      <x:c r="C17" s="2" t="n">
        <x:v>1</x:v>
      </x:c>
      <x:c r="D17" s="10" t="n">
        <x:v>1</x:v>
      </x:c>
      <x:c r="E17" s="17" t="n">
        <x:f>SUMIFS('Нагрузки'!$E$6:$E$37,'Нагрузки'!$A$6:$A$37,A17,'Нагрузки'!$B$6:$B$37,"Control")+'Шины'!Q26</x:f>
        <x:v>0.050030000000000005</x:v>
      </x:c>
      <x:c r="F17" s="17" t="n">
        <x:f>'Пуск'!M20</x:f>
        <x:v>0.010809353846153847</x:v>
      </x:c>
      <x:c r="G17" s="17" t="n">
        <x:f>MAX(E17,F17)</x:f>
        <x:v>0.050030000000000005</x:v>
      </x:c>
      <x:c r="H17" s="17" t="n">
        <x:f>G17/C17*'Вход'!$C$14</x:f>
        <x:v>0.06253750000000001</x:v>
      </x:c>
      <x:c r="I17" s="21" t="n">
        <x:f>ROUNDUP(G17*'Вход'!$C$14/'Вход'!$C$15,0)</x:f>
        <x:v>1</x:v>
      </x:c>
      <x:c r="J17" s="17" t="n">
        <x:f>'Вход'!$C$12/C17+'Вход'!$C$12/D17+'Вход'!$C$13</x:f>
        <x:v>25</x:v>
      </x:c>
      <x:c r="K17" s="17" t="n">
        <x:f>E17*J17</x:f>
        <x:v>1.25075</x:v>
      </x:c>
      <x:c r="L17" s="17" t="n">
        <x:f>(ABS('Шины'!D20)*(1-'Вход'!$C$10)-'Шины'!T20-'Вход'!$C$11-'Шины'!O20*'Шины'!F20)*1000</x:f>
        <x:v>81.49850000000006</x:v>
      </x:c>
      <x:c r="M17" s="17" t="n">
        <x:f>L17-K17</x:f>
        <x:v>80.24775000000007</x:v>
      </x:c>
      <x:c r="N17" s="13" t="str">
        <x:v>MPN пары, многоконтактная токовая характеристика и реальные сопротивления пока не заданы.</x:v>
      </x:c>
    </x:row>
    <x:row r="18" ht="47" customHeight="1">
      <x:c r="A18" s="9" t="str">
        <x:v>P15</x:v>
      </x:c>
      <x:c r="B18" s="9" t="str">
        <x:v>41</x:v>
      </x:c>
      <x:c r="C18" s="9" t="n">
        <x:v>1</x:v>
      </x:c>
      <x:c r="D18" s="10" t="n">
        <x:v>1</x:v>
      </x:c>
      <x:c r="E18" s="16" t="n">
        <x:f>SUMIFS('Нагрузки'!$E$6:$E$37,'Нагрузки'!$A$6:$A$37,A18,'Нагрузки'!$B$6:$B$37,"Control")+'Шины'!Q27</x:f>
        <x:v>0.30810000000000004</x:v>
      </x:c>
      <x:c r="F18" s="16" t="n">
        <x:f>'Пуск'!M21</x:f>
        <x:v>0.36438972307692336</x:v>
      </x:c>
      <x:c r="G18" s="16" t="n">
        <x:f>MAX(E18,F18)</x:f>
        <x:v>0.36438972307692336</x:v>
      </x:c>
      <x:c r="H18" s="16" t="n">
        <x:f>G18/C18*'Вход'!$C$14</x:f>
        <x:v>0.4554871538461542</x:v>
      </x:c>
      <x:c r="I18" s="20" t="n">
        <x:f>ROUNDUP(G18*'Вход'!$C$14/'Вход'!$C$15,0)</x:f>
        <x:v>1</x:v>
      </x:c>
      <x:c r="J18" s="16" t="n">
        <x:f>'Вход'!$C$12/C18+'Вход'!$C$12/D18+'Вход'!$C$13</x:f>
        <x:v>25</x:v>
      </x:c>
      <x:c r="K18" s="16" t="n">
        <x:f>E18*J18</x:f>
        <x:v>7.702500000000001</x:v>
      </x:c>
      <x:c r="L18" s="16" t="n">
        <x:f>(ABS('Шины'!D21)*(1-'Вход'!$C$10)-'Шины'!T21-'Вход'!$C$11-'Шины'!O21*'Шины'!F21)*1000</x:f>
        <x:v>393.43434389140054</x:v>
      </x:c>
      <x:c r="M18" s="16" t="n">
        <x:f>L18-K18</x:f>
        <x:v>385.73184389140056</x:v>
      </x:c>
      <x:c r="N18" s="12" t="str">
        <x:v>MPN пары, многоконтактная токовая характеристика и реальные сопротивления пока не заданы.</x:v>
      </x:c>
    </x:row>
    <x:row r="19" ht="47" customHeight="1">
      <x:c r="A19" s="2" t="str">
        <x:v>N15</x:v>
      </x:c>
      <x:c r="B19" s="2" t="str">
        <x:v>43</x:v>
      </x:c>
      <x:c r="C19" s="2" t="n">
        <x:v>1</x:v>
      </x:c>
      <x:c r="D19" s="10" t="n">
        <x:v>1</x:v>
      </x:c>
      <x:c r="E19" s="17" t="n">
        <x:f>SUMIFS('Нагрузки'!$E$6:$E$37,'Нагрузки'!$A$6:$A$37,A19,'Нагрузки'!$B$6:$B$37,"Control")+0</x:f>
        <x:v>0.30000000000000004</x:v>
      </x:c>
      <x:c r="F19" s="17" t="n">
        <x:f>'Пуск'!M22</x:f>
        <x:v>0.3133016687782808</x:v>
      </x:c>
      <x:c r="G19" s="17" t="n">
        <x:f>MAX(E19,F19)</x:f>
        <x:v>0.3133016687782808</x:v>
      </x:c>
      <x:c r="H19" s="17" t="n">
        <x:f>G19/C19*'Вход'!$C$14</x:f>
        <x:v>0.391627085972851</x:v>
      </x:c>
      <x:c r="I19" s="21" t="n">
        <x:f>ROUNDUP(G19*'Вход'!$C$14/'Вход'!$C$15,0)</x:f>
        <x:v>1</x:v>
      </x:c>
      <x:c r="J19" s="17" t="n">
        <x:f>'Вход'!$C$12/C19+'Вход'!$C$12/D19+'Вход'!$C$13</x:f>
        <x:v>25</x:v>
      </x:c>
      <x:c r="K19" s="17" t="n">
        <x:f>E19*J19</x:f>
        <x:v>7.500000000000001</x:v>
      </x:c>
      <x:c r="L19" s="17" t="n">
        <x:f>(ABS('Шины'!D22)*(1-'Вход'!$C$10)-'Шины'!T22-'Вход'!$C$11-'Шины'!O22*'Шины'!F22)*1000</x:f>
        <x:v>394.2443438914005</x:v>
      </x:c>
      <x:c r="M19" s="17" t="n">
        <x:f>L19-K19</x:f>
        <x:v>386.7443438914005</x:v>
      </x:c>
      <x:c r="N19" s="13" t="str">
        <x:v>MPN пары, многоконтактная токовая характеристика и реальные сопротивления пока не заданы.</x:v>
      </x:c>
    </x:row>
    <x:row r="20" ht="47" customHeight="1">
      <x:c r="A20" s="9" t="str">
        <x:v>PROG_P15</x:v>
      </x:c>
      <x:c r="B20" s="9" t="str">
        <x:v>45</x:v>
      </x:c>
      <x:c r="C20" s="9" t="n">
        <x:v>1</x:v>
      </x:c>
      <x:c r="D20" s="10" t="n">
        <x:v>1</x:v>
      </x:c>
      <x:c r="E20" s="16" t="n">
        <x:f>SUMIFS('Нагрузки'!$E$6:$E$37,'Нагрузки'!$A$6:$A$37,A20,'Нагрузки'!$B$6:$B$37,"Control")+0</x:f>
        <x:v>0.06</x:v>
      </x:c>
      <x:c r="F20" s="16" t="n">
        <x:f>'Пуск'!M23</x:f>
        <x:v>0.04953706425339366</x:v>
      </x:c>
      <x:c r="G20" s="16" t="n">
        <x:f>MAX(E20,F20)</x:f>
        <x:v>0.06</x:v>
      </x:c>
      <x:c r="H20" s="16" t="n">
        <x:f>G20/C20*'Вход'!$C$14</x:f>
        <x:v>0.075</x:v>
      </x:c>
      <x:c r="I20" s="20" t="n">
        <x:f>ROUNDUP(G20*'Вход'!$C$14/'Вход'!$C$15,0)</x:f>
        <x:v>1</x:v>
      </x:c>
      <x:c r="J20" s="16" t="n">
        <x:f>'Вход'!$C$12/C20+'Вход'!$C$12/D20+'Вход'!$C$13</x:f>
        <x:v>25</x:v>
      </x:c>
      <x:c r="K20" s="16" t="n">
        <x:f>E20*J20</x:f>
        <x:v>1.5</x:v>
      </x:c>
      <x:c r="L20" s="16" t="n">
        <x:f>(ABS('Шины'!D21)*(1-'Вход'!$C$10)-'Шины'!T23-'Вход'!$C$11-'Шины'!O21*'Шины'!F21)*1000</x:f>
        <x:v>393.43434389140054</x:v>
      </x:c>
      <x:c r="M20" s="16" t="n">
        <x:f>L20-K20</x:f>
        <x:v>391.93434389140054</x:v>
      </x:c>
      <x:c r="N20" s="12" t="str">
        <x:v>Не включены потери ключей ±15 В; уточнить RDS(on), включение и нагрузку.</x:v>
      </x:c>
    </x:row>
    <x:row r="21" ht="47" customHeight="1">
      <x:c r="A21" s="2" t="str">
        <x:v>PROG_N15</x:v>
      </x:c>
      <x:c r="B21" s="2" t="str">
        <x:v>47</x:v>
      </x:c>
      <x:c r="C21" s="2" t="n">
        <x:v>1</x:v>
      </x:c>
      <x:c r="D21" s="10" t="n">
        <x:v>1</x:v>
      </x:c>
      <x:c r="E21" s="17" t="n">
        <x:f>SUMIFS('Нагрузки'!$E$6:$E$37,'Нагрузки'!$A$6:$A$37,A21,'Нагрузки'!$B$6:$B$37,"Control")+0</x:f>
        <x:v>0.06</x:v>
      </x:c>
      <x:c r="F21" s="17" t="n">
        <x:f>'Пуск'!M24</x:f>
        <x:v>0.04953706425339366</x:v>
      </x:c>
      <x:c r="G21" s="17" t="n">
        <x:f>MAX(E21,F21)</x:f>
        <x:v>0.06</x:v>
      </x:c>
      <x:c r="H21" s="17" t="n">
        <x:f>G21/C21*'Вход'!$C$14</x:f>
        <x:v>0.075</x:v>
      </x:c>
      <x:c r="I21" s="21" t="n">
        <x:f>ROUNDUP(G21*'Вход'!$C$14/'Вход'!$C$15,0)</x:f>
        <x:v>1</x:v>
      </x:c>
      <x:c r="J21" s="17" t="n">
        <x:f>'Вход'!$C$12/C21+'Вход'!$C$12/D21+'Вход'!$C$13</x:f>
        <x:v>25</x:v>
      </x:c>
      <x:c r="K21" s="17" t="n">
        <x:f>E21*J21</x:f>
        <x:v>1.5</x:v>
      </x:c>
      <x:c r="L21" s="17" t="n">
        <x:f>(ABS('Шины'!D22)*(1-'Вход'!$C$10)-'Шины'!T24-'Вход'!$C$11-'Шины'!O22*'Шины'!F22)*1000</x:f>
        <x:v>394.2443438914005</x:v>
      </x:c>
      <x:c r="M21" s="17" t="n">
        <x:f>L21-K21</x:f>
        <x:v>392.7443438914005</x:v>
      </x:c>
      <x:c r="N21" s="13" t="str">
        <x:v>Не включены потери ключей ±15 В; уточнить RDS(on), включение и нагрузку.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30" customHeight="1">
      <x:c r="A24" s="13" t="str">
        <x:v>Контактов GND по схеме</x:v>
      </x:c>
      <x:c r="B24" s="13"/>
      <x:c r="C24" s="13"/>
      <x:c r="D24" s="2" t="n">
        <x:v>30</x:v>
      </x:c>
      <x:c r="E24" s="2"/>
      <x:c r="F24" s="13" t="str">
        <x:v>Токи положительных и отрицательных шин здесь не взаимно вычитаются. Усреднение по всем GND не подтверждает ток ближайшего возвратного контакта: требуются геометрия пары, распределение тока и тепловая характеристика при полной нагрузке. Принятые N GND — модель, не новая распиновка.</x:v>
      </x:c>
      <x:c r="G24" s="13"/>
      <x:c r="H24" s="13"/>
      <x:c r="I24" s="13"/>
      <x:c r="J24" s="13"/>
      <x:c r="K24" s="13"/>
      <x:c r="L24" s="13"/>
      <x:c r="M24" s="13"/>
      <x:c r="N24" s="13"/>
    </x:row>
    <x:row r="25" ht="30" customHeight="1">
      <x:c r="A25" s="13" t="str">
        <x:v>Распределено GND в модели</x:v>
      </x:c>
      <x:c r="B25" s="13"/>
      <x:c r="C25" s="13"/>
      <x:c r="D25" s="2" t="n">
        <x:f>SUM(D6:D21)</x:f>
        <x:v>25</x:v>
      </x:c>
      <x:c r="E25" s="2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 ht="30" customHeight="1">
      <x:c r="A26" s="13" t="str">
        <x:v>Сумма модулей пиков, А</x:v>
      </x:c>
      <x:c r="B26" s="13"/>
      <x:c r="C26" s="13"/>
      <x:c r="D26" s="17" t="n">
        <x:f>SUM(E6:E21)</x:f>
        <x:v>8.66528224448898</x:v>
      </x:c>
      <x:c r="E26" s="2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 ht="30" customHeight="1">
      <x:c r="A27" s="22" t="str">
        <x:v>Средний по 30 GND × неравномерность, А</x:v>
      </x:c>
      <x:c r="B27" s="22"/>
      <x:c r="C27" s="22"/>
      <x:c r="D27" s="23" t="n">
        <x:f>D26/D24*'Вход'!$C$14</x:f>
        <x:v>0.3610534268537075</x:v>
      </x:c>
      <x:c r="F27" s="22"/>
      <x:c r="G27" s="22"/>
      <x:c r="H27" s="22"/>
      <x:c r="I27" s="22"/>
      <x:c r="J27" s="22"/>
      <x:c r="K27" s="22"/>
      <x:c r="L27" s="22"/>
      <x:c r="M27" s="22"/>
      <x:c r="N27" s="22"/>
    </x:row>
  </x:sheetData>
  <x:mergeCells>
    <x:mergeCell ref="A24:C24"/>
    <x:mergeCell ref="A25:C25"/>
    <x:mergeCell ref="A26:C26"/>
    <x:mergeCell ref="A27:C27"/>
    <x:mergeCell ref="F24:N27"/>
  </x:mergeCells>
  <x:conditionalFormatting sqref="M6:M21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395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55" hidden="0" customWidth="1"/>
    <x:col min="4" max="4" width="14" hidden="0" customWidth="1"/>
    <x:col min="5" max="5" width="14" hidden="0" customWidth="1"/>
    <x:col min="6" max="6" width="17" hidden="0" customWidth="1"/>
    <x:col min="7" max="7" width="85" hidden="0" customWidth="1"/>
    <x:col min="8" max="8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Нагрузки и допущения</x:v>
      </x:c>
      <x:c r="B2" s="2"/>
      <x:c r="C2" s="2"/>
      <x:c r="D2" s="2"/>
      <x:c r="E2" s="2"/>
      <x:c r="F2" s="2"/>
      <x:c r="G2" s="2"/>
      <x:c r="H2" s="2"/>
    </x:row>
    <x:row r="3">
      <x:c r="A3" s="4" t="str">
        <x:v>Жёлтые значения — рабочие допущения. Токи в амперах. Пуск указан без заряда конденсаторов.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8" t="str">
        <x:v>Шина</x:v>
      </x:c>
      <x:c r="B5" s="8" t="str">
        <x:v>Плата</x:v>
      </x:c>
      <x:c r="C5" s="8" t="str">
        <x:v>Потребители</x:v>
      </x:c>
      <x:c r="D5" s="8" t="str">
        <x:v>Средний, А</x:v>
      </x:c>
      <x:c r="E5" s="8" t="str">
        <x:v>Пик, А</x:v>
      </x:c>
      <x:c r="F5" s="8" t="str">
        <x:v>Пуск без C, А</x:v>
      </x:c>
      <x:c r="G5" s="8" t="str">
        <x:v>Основание / что уточнить</x:v>
      </x:c>
      <x:c r="H5" s="8" t="str">
        <x:v>Источник</x:v>
      </x:c>
    </x:row>
    <x:row r="6" ht="47" customHeight="1">
      <x:c r="A6" s="9" t="str">
        <x:v>AON</x:v>
      </x:c>
      <x:c r="B6" s="9" t="str">
        <x:v>Power</x:v>
      </x:c>
      <x:c r="C6" s="12" t="str">
        <x:v>PM MCU, 14 INA301, INA293, логика, оптопары, мониторы</x:v>
      </x:c>
      <x:c r="D6" s="11" t="n">
        <x:v>0.12</x:v>
      </x:c>
      <x:c r="E6" s="11" t="n">
        <x:v>0.2</x:v>
      </x:c>
      <x:c r="F6" s="11" t="n">
        <x:v>0.08</x:v>
      </x:c>
      <x:c r="G6" s="12" t="str">
        <x:v>D01: суммарный резерв, включая VIN/Iq TPS51200; уточнить режим MCU и оптопар</x:v>
      </x:c>
      <x:c r="H6" s="12" t="str">
        <x:v>https://github.com/max-talanov/mira/tree/24b4428877257387bc5a686abd9e830a37f58770/hardware</x:v>
      </x:c>
    </x:row>
    <x:row r="7" ht="47" customHeight="1">
      <x:c r="A7" s="2" t="str">
        <x:v>AON</x:v>
      </x:c>
      <x:c r="B7" s="2" t="str">
        <x:v>Control</x:v>
      </x:c>
      <x:c r="C7" s="13" t="str">
        <x:v>Подтяжки и цепь аппаратного запрета</x:v>
      </x:c>
      <x:c r="D7" s="11" t="n">
        <x:v>0.002</x:v>
      </x:c>
      <x:c r="E7" s="11" t="n">
        <x:v>0.005</x:v>
      </x:c>
      <x:c r="F7" s="11" t="n">
        <x:v>0.001</x:v>
      </x:c>
      <x:c r="G7" s="13" t="str">
        <x:v>D01: предварительный резерв</x:v>
      </x:c>
      <x:c r="H7" s="13" t="str">
        <x:v>https://github.com/max-talanov/mira/tree/24b4428877257387bc5a686abd9e830a37f58770/hardware</x:v>
      </x:c>
    </x:row>
    <x:row r="8" ht="47" customHeight="1">
      <x:c r="A8" s="9" t="str">
        <x:v>SYS3V3</x:v>
      </x:c>
      <x:c r="B8" s="9" t="str">
        <x:v>Control</x:v>
      </x:c>
      <x:c r="C8" s="12" t="str">
        <x:v>U100 STM32H745, оба ядра</x:v>
      </x:c>
      <x:c r="D8" s="11" t="n">
        <x:v>0.2</x:v>
      </x:c>
      <x:c r="E8" s="11" t="n">
        <x:v>0.4</x:v>
      </x:c>
      <x:c r="F8" s="11" t="n">
        <x:v>0.08</x:v>
      </x:c>
      <x:c r="G8" s="12" t="str">
        <x:v>D02: допущение; частоты, периферия и активность не заданы</x:v>
      </x:c>
      <x:c r="H8" s="12" t="str">
        <x:v>https://github.com/max-talanov/mira/tree/24b4428877257387bc5a686abd9e830a37f58770/hardware</x:v>
      </x:c>
    </x:row>
    <x:row r="9" ht="47" customHeight="1">
      <x:c r="A9" s="2" t="str">
        <x:v>SYS3V3</x:v>
      </x:c>
      <x:c r="B9" s="2" t="str">
        <x:v>Control</x:v>
      </x:c>
      <x:c r="C9" s="13" t="str">
        <x:v>U200 SDRAM IS42S16320F</x:v>
      </x:c>
      <x:c r="D9" s="11" t="n">
        <x:v>0.09</x:v>
      </x:c>
      <x:c r="E9" s="11" t="n">
        <x:v>0.15</x:v>
      </x:c>
      <x:c r="F9" s="11" t="n">
        <x:v>0.03</x:v>
      </x:c>
      <x:c r="G9" s="13" t="str">
        <x:v>D02: допущение; заменить расчётом по режимам памяти</x:v>
      </x:c>
      <x:c r="H9" s="13" t="str">
        <x:v>https://github.com/max-talanov/mira/tree/24b4428877257387bc5a686abd9e830a37f58770/hardware</x:v>
      </x:c>
    </x:row>
    <x:row r="10" ht="47" customHeight="1">
      <x:c r="A10" s="9" t="str">
        <x:v>SYS3V3</x:v>
      </x:c>
      <x:c r="B10" s="9" t="str">
        <x:v>Control</x:v>
      </x:c>
      <x:c r="C10" s="12" t="str">
        <x:v>U300 Flash и microSD</x:v>
      </x:c>
      <x:c r="D10" s="11" t="n">
        <x:v>0.115</x:v>
      </x:c>
      <x:c r="E10" s="11" t="n">
        <x:v>0.28</x:v>
      </x:c>
      <x:c r="F10" s="11" t="n">
        <x:v>0.03</x:v>
      </x:c>
      <x:c r="G10" s="12" t="str">
        <x:v>D02: 15/30 мА Flash и 100/250 мА microSD; карта не выбрана</x:v>
      </x:c>
      <x:c r="H10" s="12" t="str">
        <x:v>https://github.com/max-talanov/mira/tree/24b4428877257387bc5a686abd9e830a37f58770/hardware</x:v>
      </x:c>
    </x:row>
    <x:row r="11" ht="47" customHeight="1">
      <x:c r="A11" s="2" t="str">
        <x:v>SYS3V3</x:v>
      </x:c>
      <x:c r="B11" s="2" t="str">
        <x:v>Control</x:v>
      </x:c>
      <x:c r="C11" s="13" t="str">
        <x:v>Генератор, буферы, подтяжки</x:v>
      </x:c>
      <x:c r="D11" s="11" t="n">
        <x:v>0.02</x:v>
      </x:c>
      <x:c r="E11" s="11" t="n">
        <x:v>0.05</x:v>
      </x:c>
      <x:c r="F11" s="11" t="n">
        <x:v>0.01</x:v>
      </x:c>
      <x:c r="G11" s="13" t="str">
        <x:v>D02: суммарный резерв</x:v>
      </x:c>
      <x:c r="H11" s="13" t="str">
        <x:v>https://github.com/max-talanov/mira/tree/24b4428877257387bc5a686abd9e830a37f58770/hardware</x:v>
      </x:c>
    </x:row>
    <x:row r="12" ht="47" customHeight="1">
      <x:c r="A12" s="9" t="str">
        <x:v>SYS3V3</x:v>
      </x:c>
      <x:c r="B12" s="9" t="str">
        <x:v>Power</x:v>
      </x:c>
      <x:c r="C12" s="12" t="str">
        <x:v>Host watchdog и U3301</x:v>
      </x:c>
      <x:c r="D12" s="11" t="n">
        <x:v>0.01</x:v>
      </x:c>
      <x:c r="E12" s="11" t="n">
        <x:v>0.02</x:v>
      </x:c>
      <x:c r="F12" s="11" t="n">
        <x:v>0.005</x:v>
      </x:c>
      <x:c r="G12" s="12" t="str">
        <x:v>D02: суммарный резерв</x:v>
      </x:c>
      <x:c r="H12" s="12" t="str">
        <x:v>https://github.com/max-talanov/mira/tree/24b4428877257387bc5a686abd9e830a37f58770/hardware</x:v>
      </x:c>
    </x:row>
    <x:row r="13" ht="47" customHeight="1">
      <x:c r="A13" s="2" t="str">
        <x:v>CORE1V0</x:v>
      </x:c>
      <x:c r="B13" s="2" t="str">
        <x:v>Control</x:v>
      </x:c>
      <x:c r="C13" s="13" t="str">
        <x:v>U500 VCCINT + VCCBRAM</x:v>
      </x:c>
      <x:c r="D13" s="11" t="n">
        <x:v>2</x:v>
      </x:c>
      <x:c r="E13" s="11" t="n">
        <x:v>4</x:v>
      </x:c>
      <x:c r="F13" s="11" t="n">
        <x:v>1</x:v>
      </x:c>
      <x:c r="G13" s="13" t="str">
        <x:v>D03: 2/4 А — бюджет до XPE. Пуск 1 А без заряда C — тоже допущение</x:v>
      </x:c>
      <x:c r="H13" s="13" t="str">
        <x:v>https://docs.amd.com/v/u/en-US/ds181_Artix_7_Data_Sheet</x:v>
      </x:c>
    </x:row>
    <x:row r="14" ht="47" customHeight="1">
      <x:c r="A14" s="9" t="str">
        <x:v>AUX1V8</x:v>
      </x:c>
      <x:c r="B14" s="9" t="str">
        <x:v>Control</x:v>
      </x:c>
      <x:c r="C14" s="12" t="str">
        <x:v>U500 VCCAUX и XADC через FB600</x:v>
      </x:c>
      <x:c r="D14" s="11" t="n">
        <x:v>0.15</x:v>
      </x:c>
      <x:c r="E14" s="11" t="n">
        <x:v>0.3</x:v>
      </x:c>
      <x:c r="F14" s="11" t="n">
        <x:v>0.15</x:v>
      </x:c>
      <x:c r="G14" s="12" t="str">
        <x:v>D03: бюджет до XPE, включая XADC</x:v>
      </x:c>
      <x:c r="H14" s="12" t="str">
        <x:v>https://docs.amd.com/v/u/en-US/ds181_Artix_7_Data_Sheet</x:v>
      </x:c>
    </x:row>
    <x:row r="15" ht="47" customHeight="1">
      <x:c r="A15" s="2" t="str">
        <x:v>AUX2V5</x:v>
      </x:c>
      <x:c r="B15" s="2" t="str">
        <x:v>Power</x:v>
      </x:c>
      <x:c r="C15" s="13" t="str">
        <x:v>Не назначенный потребитель; резерв</x:v>
      </x:c>
      <x:c r="D15" s="11" t="n">
        <x:v>0</x:v>
      </x:c>
      <x:c r="E15" s="11" t="n">
        <x:v>0</x:v>
      </x:c>
      <x:c r="F15" s="11" t="n">
        <x:v>0</x:v>
      </x:c>
      <x:c r="G15" s="13" t="str">
        <x:v>D04: потребитель в текущей схеме не найден; 0 относится к этому сценарию, не к разрешению удалить шину</x:v>
      </x:c>
      <x:c r="H15" s="13" t="str">
        <x:v>https://github.com/max-talanov/mira/tree/24b4428877257387bc5a686abd9e830a37f58770/hardware</x:v>
      </x:c>
    </x:row>
    <x:row r="16" ht="47" customHeight="1">
      <x:c r="A16" s="9" t="str">
        <x:v>IO3V3</x:v>
      </x:c>
      <x:c r="B16" s="9" t="str">
        <x:v>Control</x:v>
      </x:c>
      <x:c r="C16" s="12" t="str">
        <x:v>U500 банки 0/13/14/34/35</x:v>
      </x:c>
      <x:c r="D16" s="11" t="n">
        <x:v>0.15</x:v>
      </x:c>
      <x:c r="E16" s="11" t="n">
        <x:v>0.4</x:v>
      </x:c>
      <x:c r="F16" s="11" t="n">
        <x:v>0.225</x:v>
      </x:c>
      <x:c r="G16" s="12" t="str">
        <x:v>D03: активность I/O неизвестна; пуск 5 банков × 45 мА ориентировочно</x:v>
      </x:c>
      <x:c r="H16" s="12" t="str">
        <x:v>https://docs.amd.com/v/u/en-US/ds181_Artix_7_Data_Sheet</x:v>
      </x:c>
    </x:row>
    <x:row r="17" ht="47" customHeight="1">
      <x:c r="A17" s="2" t="str">
        <x:v>IO3V3</x:v>
      </x:c>
      <x:c r="B17" s="2" t="str">
        <x:v>Control</x:v>
      </x:c>
      <x:c r="C17" s="13" t="str">
        <x:v>U707 FT601 вместе с внутренним FT1V0 и фильтрами</x:v>
      </x:c>
      <x:c r="D17" s="11" t="n">
        <x:v>0.2</x:v>
      </x:c>
      <x:c r="E17" s="11" t="n">
        <x:v>0.3</x:v>
      </x:c>
      <x:c r="F17" s="11" t="n">
        <x:v>0.08</x:v>
      </x:c>
      <x:c r="G17" s="13" t="str">
        <x:v>D05: общий ток на входе 3,3 В; FT1V0 отдельно повторно не суммируется</x:v>
      </x:c>
      <x:c r="H17" s="13" t="str">
        <x:v>https://github.com/max-talanov/mira/tree/24b4428877257387bc5a686abd9e830a37f58770/hardware</x:v>
      </x:c>
    </x:row>
    <x:row r="18" ht="47" customHeight="1">
      <x:c r="A18" s="9" t="str">
        <x:v>IO3V3</x:v>
      </x:c>
      <x:c r="B18" s="9" t="str">
        <x:v>Control</x:v>
      </x:c>
      <x:c r="C18" s="12" t="str">
        <x:v>Матричная логика, регистры, SPI, Flash</x:v>
      </x:c>
      <x:c r="D18" s="11" t="n">
        <x:v>0.06</x:v>
      </x:c>
      <x:c r="E18" s="11" t="n">
        <x:v>0.12</x:v>
      </x:c>
      <x:c r="F18" s="11" t="n">
        <x:v>0.025</x:v>
      </x:c>
      <x:c r="G18" s="12" t="str">
        <x:v>D05: резерв; зависит от частот и ёмкостной нагрузки</x:v>
      </x:c>
      <x:c r="H18" s="12" t="str">
        <x:v>https://github.com/max-talanov/mira/tree/24b4428877257387bc5a686abd9e830a37f58770/hardware</x:v>
      </x:c>
    </x:row>
    <x:row r="19" ht="47" customHeight="1">
      <x:c r="A19" s="2" t="str">
        <x:v>IO3V3</x:v>
      </x:c>
      <x:c r="B19" s="2" t="str">
        <x:v>Control</x:v>
      </x:c>
      <x:c r="C19" s="13" t="str">
        <x:v>Y800 SiT9121 200 MHz</x:v>
      </x:c>
      <x:c r="D19" s="11" t="n">
        <x:v>0.06</x:v>
      </x:c>
      <x:c r="E19" s="11" t="n">
        <x:v>0.09</x:v>
      </x:c>
      <x:c r="F19" s="11" t="n">
        <x:v>0.06</x:v>
      </x:c>
      <x:c r="G19" s="13" t="str">
        <x:v>D05: допущение до проверки исполнения генератора</x:v>
      </x:c>
      <x:c r="H19" s="13" t="str">
        <x:v>https://github.com/max-talanov/mira/tree/24b4428877257387bc5a686abd9e830a37f58770/hardware</x:v>
      </x:c>
    </x:row>
    <x:row r="20" ht="47" customHeight="1">
      <x:c r="A20" s="9" t="str">
        <x:v>IO3V3</x:v>
      </x:c>
      <x:c r="B20" s="9" t="str">
        <x:v>Control</x:v>
      </x:c>
      <x:c r="C20" s="12" t="str">
        <x:v>PHY VDDIO, LED, буферы</x:v>
      </x:c>
      <x:c r="D20" s="11" t="n">
        <x:v>0.04</x:v>
      </x:c>
      <x:c r="E20" s="11" t="n">
        <x:v>0.08</x:v>
      </x:c>
      <x:c r="F20" s="11" t="n">
        <x:v>0.025</x:v>
      </x:c>
      <x:c r="G20" s="12" t="str">
        <x:v>D05: запас для 3,3 В I/O; таблица TI с 1,8 В I/O напрямую не переносится</x:v>
      </x:c>
      <x:c r="H20" s="12" t="str">
        <x:v>https://www.ti.com/lit/ds/symlink/dp83867ir.pdf</x:v>
      </x:c>
    </x:row>
    <x:row r="21" ht="47" customHeight="1">
      <x:c r="A21" s="2" t="str">
        <x:v>DDR1V35</x:v>
      </x:c>
      <x:c r="B21" s="2" t="str">
        <x:v>Control</x:v>
      </x:c>
      <x:c r="C21" s="13" t="str">
        <x:v>U800 DDR3L + U500 банки 15/16</x:v>
      </x:c>
      <x:c r="D21" s="11" t="n">
        <x:v>0.4</x:v>
      </x:c>
      <x:c r="E21" s="11" t="n">
        <x:v>0.8</x:v>
      </x:c>
      <x:c r="F21" s="11" t="n">
        <x:v>0.15</x:v>
      </x:c>
      <x:c r="G21" s="13" t="str">
        <x:v>D06: бюджет памяти и I/O; средний включает верхние драйверы SSTL. Пиковая огибающая рассчитана для source VTT</x:v>
      </x:c>
      <x:c r="H21" s="13" t="str">
        <x:v>https://github.com/max-talanov/mira/tree/24b4428877257387bc5a686abd9e830a37f58770/hardware</x:v>
      </x:c>
    </x:row>
    <x:row r="22" ht="47" customHeight="1">
      <x:c r="A22" s="9" t="str">
        <x:v>VTT</x:v>
      </x:c>
      <x:c r="B22" s="9" t="str">
        <x:v>Control</x:v>
      </x:c>
      <x:c r="C22" s="12" t="str">
        <x:v>23 терминирующих резистора по 49,9 Ом</x:v>
      </x:c>
      <x:c r="D22" s="24" t="n">
        <x:f>E22*0.5</x:f>
        <x:v>0.15556112224448898</x:v>
      </x:c>
      <x:c r="E22" s="24" t="n">
        <x:f>'Вход'!C52</x:f>
        <x:v>0.31112224448897796</x:v>
      </x:c>
      <x:c r="F22" s="11" t="n">
        <x:v>0.02</x:v>
      </x:c>
      <x:c r="G22" s="12" t="str">
        <x:v>CALC: |Imax|=23×0,675/49,9; средний source принят 50%. Возможен равный по модулю sink; он не вычитается из входной мощности</x:v>
      </x:c>
      <x:c r="H22" s="12" t="str">
        <x:v>https://www.ti.com/product/TPS51200</x:v>
      </x:c>
    </x:row>
    <x:row r="23" ht="47" customHeight="1">
      <x:c r="A23" s="2" t="str">
        <x:v>DDR_VREF</x:v>
      </x:c>
      <x:c r="B23" s="2" t="str">
        <x:v>Control</x:v>
      </x:c>
      <x:c r="C23" s="13" t="str">
        <x:v>Опорные входы DDR и FPGA</x:v>
      </x:c>
      <x:c r="D23" s="11" t="n">
        <x:v>0.0001</x:v>
      </x:c>
      <x:c r="E23" s="11" t="n">
        <x:v>0.001</x:v>
      </x:c>
      <x:c r="F23" s="11" t="n">
        <x:v>0.0001</x:v>
      </x:c>
      <x:c r="G23" s="13" t="str">
        <x:v>D06: предварительный ток опор; критерий — tracking/noise, не нагрев контакта</x:v>
      </x:c>
      <x:c r="H23" s="13" t="str">
        <x:v>https://github.com/max-talanov/mira/tree/24b4428877257387bc5a686abd9e830a37f58770/hardware</x:v>
      </x:c>
    </x:row>
    <x:row r="24" ht="47" customHeight="1">
      <x:c r="A24" s="9" t="str">
        <x:v>PHY1V05</x:v>
      </x:c>
      <x:c r="B24" s="9" t="str">
        <x:v>Control</x:v>
      </x:c>
      <x:c r="C24" s="12" t="str">
        <x:v>U902 DP83867IRRGZ VDD1P0</x:v>
      </x:c>
      <x:c r="D24" s="11" t="n">
        <x:v>0.108</x:v>
      </x:c>
      <x:c r="E24" s="11" t="n">
        <x:v>0.2</x:v>
      </x:c>
      <x:c r="F24" s="11" t="n">
        <x:v>0.108</x:v>
      </x:c>
      <x:c r="G24" s="12" t="str">
        <x:v>108 мА — типовой 1000BASE-T из TI, 200 мА — расчётный резерв</x:v>
      </x:c>
      <x:c r="H24" s="12" t="str">
        <x:v>https://www.ti.com/lit/ds/symlink/dp83867ir.pdf</x:v>
      </x:c>
    </x:row>
    <x:row r="25" ht="47" customHeight="1">
      <x:c r="A25" s="2" t="str">
        <x:v>PHY2V5</x:v>
      </x:c>
      <x:c r="B25" s="2" t="str">
        <x:v>Control</x:v>
      </x:c>
      <x:c r="C25" s="13" t="str">
        <x:v>U902 VDDA2P5, локальный U903 от IO3V3</x:v>
      </x:c>
      <x:c r="D25" s="11" t="n">
        <x:v>0.137</x:v>
      </x:c>
      <x:c r="E25" s="11" t="n">
        <x:v>0.2</x:v>
      </x:c>
      <x:c r="F25" s="11" t="n">
        <x:v>0.137</x:v>
      </x:c>
      <x:c r="G25" s="13" t="str">
        <x:v>137 мА — типовой двухдоменный режим TI, 200 мА — резерв; I/O 3,3 В учтён отдельно</x:v>
      </x:c>
      <x:c r="H25" s="13" t="str">
        <x:v>https://www.ti.com/lit/ds/symlink/dp83867ir.pdf</x:v>
      </x:c>
    </x:row>
    <x:row r="26" ht="47" customHeight="1">
      <x:c r="A26" s="9" t="str">
        <x:v>ANA5</x:v>
      </x:c>
      <x:c r="B26" s="9" t="str">
        <x:v>Control</x:v>
      </x:c>
      <x:c r="C26" s="12" t="str">
        <x:v>Пять AD5676R, OPA197, THP210 и обвязка</x:v>
      </x:c>
      <x:c r="D26" s="11" t="n">
        <x:v>0.08</x:v>
      </x:c>
      <x:c r="E26" s="11" t="n">
        <x:v>0.15</x:v>
      </x:c>
      <x:c r="F26" s="11" t="n">
        <x:v>0.04</x:v>
      </x:c>
      <x:c r="G26" s="12" t="str">
        <x:v>D07: суммарный резерв; допустимое напряжение всей цепи ещё проверить</x:v>
      </x:c>
      <x:c r="H26" s="12" t="str">
        <x:v>https://www.analog.com/en/products/ad5676r.html</x:v>
      </x:c>
    </x:row>
    <x:row r="27" ht="47" customHeight="1">
      <x:c r="A27" s="2" t="str">
        <x:v>ANA3V3</x:v>
      </x:c>
      <x:c r="B27" s="2" t="str">
        <x:v>Power</x:v>
      </x:c>
      <x:c r="C27" s="13" t="str">
        <x:v>Разрядный резистор и служебный ток</x:v>
      </x:c>
      <x:c r="D27" s="11" t="n">
        <x:v>0.001</x:v>
      </x:c>
      <x:c r="E27" s="11" t="n">
        <x:v>0.002</x:v>
      </x:c>
      <x:c r="F27" s="11" t="n">
        <x:v>0.001</x:v>
      </x:c>
      <x:c r="G27" s="13" t="str">
        <x:v>D07: резерв; основной потребитель — локальный LDO ADC на Control</x:v>
      </x:c>
      <x:c r="H27" s="13" t="str">
        <x:v>https://github.com/max-talanov/mira/tree/24b4428877257387bc5a686abd9e830a37f58770/hardware</x:v>
      </x:c>
    </x:row>
    <x:row r="28" ht="47" customHeight="1">
      <x:c r="A28" s="9" t="str">
        <x:v>MAT_ADC_1V8</x:v>
      </x:c>
      <x:c r="B28" s="9" t="str">
        <x:v>Control</x:v>
      </x:c>
      <x:c r="C28" s="12" t="str">
        <x:v>U2004 AD4003 через U2005 TLV75518P</x:v>
      </x:c>
      <x:c r="D28" s="11" t="n">
        <x:v>0.02</x:v>
      </x:c>
      <x:c r="E28" s="11" t="n">
        <x:v>0.05</x:v>
      </x:c>
      <x:c r="F28" s="11" t="n">
        <x:v>0.01</x:v>
      </x:c>
      <x:c r="G28" s="12" t="str">
        <x:v>D07: допущение до задания частоты выборок</x:v>
      </x:c>
      <x:c r="H28" s="12" t="str">
        <x:v>https://github.com/max-talanov/mira/tree/24b4428877257387bc5a686abd9e830a37f58770/hardware</x:v>
      </x:c>
    </x:row>
    <x:row r="29" ht="47" customHeight="1">
      <x:c r="A29" s="2" t="str">
        <x:v>P15</x:v>
      </x:c>
      <x:c r="B29" s="2" t="str">
        <x:v>Control</x:v>
      </x:c>
      <x:c r="C29" s="13" t="str">
        <x:v>40 каналов OPA192, 16 OPA197, OPA551, INA и ключи</x:v>
      </x:c>
      <x:c r="D29" s="11" t="n">
        <x:v>0.075</x:v>
      </x:c>
      <x:c r="E29" s="11" t="n">
        <x:v>0.1</x:v>
      </x:c>
      <x:c r="F29" s="11" t="n">
        <x:v>0.1</x:v>
      </x:c>
      <x:c r="G29" s="13" t="str">
        <x:v>D08: 40+16+7=63 мА типовой основы; остальные и запас включены до 75/100 мА. Не datasheet maximum</x:v>
      </x:c>
      <x:c r="H29" s="13" t="str">
        <x:v>https://www.ti.com/product/OPA4192</x:v>
      </x:c>
    </x:row>
    <x:row r="30" ht="47" customHeight="1">
      <x:c r="A30" s="9" t="str">
        <x:v>P15</x:v>
      </x:c>
      <x:c r="B30" s="9" t="str">
        <x:v>Control</x:v>
      </x:c>
      <x:c r="C30" s="12" t="str">
        <x:v>Выходные токи аналоговых буферов и резистивные цепи</x:v>
      </x:c>
      <x:c r="D30" s="11" t="n">
        <x:v>0.03</x:v>
      </x:c>
      <x:c r="E30" s="11" t="n">
        <x:v>0.2</x:v>
      </x:c>
      <x:c r="F30" s="11" t="n">
        <x:v>0.005</x:v>
      </x:c>
      <x:c r="G30" s="12" t="str">
        <x:v>D08: допущение. 32 одновременных BL, проводимость DUT и заряд линий требуют отдельного расчёта</x:v>
      </x:c>
      <x:c r="H30" s="12" t="str">
        <x:v>https://github.com/max-talanov/mira/tree/24b4428877257387bc5a686abd9e830a37f58770/hardware</x:v>
      </x:c>
    </x:row>
    <x:row r="31" ht="47" customHeight="1">
      <x:c r="A31" s="2" t="str">
        <x:v>N15</x:v>
      </x:c>
      <x:c r="B31" s="2" t="str">
        <x:v>Control</x:v>
      </x:c>
      <x:c r="C31" s="13" t="str">
        <x:v>40 каналов OPA192, 16 OPA197, OPA551, INA и ключи</x:v>
      </x:c>
      <x:c r="D31" s="11" t="n">
        <x:v>0.075</x:v>
      </x:c>
      <x:c r="E31" s="11" t="n">
        <x:v>0.1</x:v>
      </x:c>
      <x:c r="F31" s="11" t="n">
        <x:v>0.1</x:v>
      </x:c>
      <x:c r="G31" s="13" t="str">
        <x:v>D08: 40+16+7=63 мА типовой основы; остальные и запас включены до 75/100 мА. Не datasheet maximum</x:v>
      </x:c>
      <x:c r="H31" s="13" t="str">
        <x:v>https://www.ti.com/product/OPA4192</x:v>
      </x:c>
    </x:row>
    <x:row r="32" ht="47" customHeight="1">
      <x:c r="A32" s="9" t="str">
        <x:v>N15</x:v>
      </x:c>
      <x:c r="B32" s="9" t="str">
        <x:v>Control</x:v>
      </x:c>
      <x:c r="C32" s="12" t="str">
        <x:v>Выходные токи аналоговых буферов и резистивные цепи</x:v>
      </x:c>
      <x:c r="D32" s="11" t="n">
        <x:v>0.03</x:v>
      </x:c>
      <x:c r="E32" s="11" t="n">
        <x:v>0.2</x:v>
      </x:c>
      <x:c r="F32" s="11" t="n">
        <x:v>0.005</x:v>
      </x:c>
      <x:c r="G32" s="12" t="str">
        <x:v>D08: допущение. 32 одновременных BL, проводимость DUT и заряд линий требуют отдельного расчёта</x:v>
      </x:c>
      <x:c r="H32" s="12" t="str">
        <x:v>https://github.com/max-talanov/mira/tree/24b4428877257387bc5a686abd9e830a37f58770/hardware</x:v>
      </x:c>
    </x:row>
    <x:row r="33" ht="47" customHeight="1">
      <x:c r="A33" s="2" t="str">
        <x:v>PROG_P15</x:v>
      </x:c>
      <x:c r="B33" s="2" t="str">
        <x:v>Control</x:v>
      </x:c>
      <x:c r="C33" s="13" t="str">
        <x:v>U1103 AD5761R + U1104 OPA192, FORM/WRITE</x:v>
      </x:c>
      <x:c r="D33" s="11" t="n">
        <x:v>0.02</x:v>
      </x:c>
      <x:c r="E33" s="11" t="n">
        <x:v>0.06</x:v>
      </x:c>
      <x:c r="F33" s="11" t="n">
        <x:v>0.015</x:v>
      </x:c>
      <x:c r="G33" s="13" t="str">
        <x:v>D09: резерв до определения импульсов, нагрузки и скважности; учитывается также в родительской ±15 В</x:v>
      </x:c>
      <x:c r="H33" s="13" t="str">
        <x:v>https://github.com/max-talanov/mira/tree/24b4428877257387bc5a686abd9e830a37f58770/hardware</x:v>
      </x:c>
    </x:row>
    <x:row r="34" ht="47" customHeight="1">
      <x:c r="A34" s="9" t="str">
        <x:v>PROG_N15</x:v>
      </x:c>
      <x:c r="B34" s="9" t="str">
        <x:v>Control</x:v>
      </x:c>
      <x:c r="C34" s="12" t="str">
        <x:v>U1103 AD5761R + U1104 OPA192, FORM/WRITE</x:v>
      </x:c>
      <x:c r="D34" s="11" t="n">
        <x:v>0.02</x:v>
      </x:c>
      <x:c r="E34" s="11" t="n">
        <x:v>0.06</x:v>
      </x:c>
      <x:c r="F34" s="11" t="n">
        <x:v>0.015</x:v>
      </x:c>
      <x:c r="G34" s="12" t="str">
        <x:v>D09: резерв до определения импульсов, нагрузки и скважности; учитывается также в родительской ±15 В</x:v>
      </x:c>
      <x:c r="H34" s="12" t="str">
        <x:v>https://github.com/max-talanov/mira/tree/24b4428877257387bc5a686abd9e830a37f58770/hardware</x:v>
      </x:c>
    </x:row>
    <x:row r="35" ht="47" customHeight="1">
      <x:c r="A35" s="2" t="str">
        <x:v>MAT_REF_PRE12</x:v>
      </x:c>
      <x:c r="B35" s="2" t="str">
        <x:v>Control</x:v>
      </x:c>
      <x:c r="C35" s="13" t="str">
        <x:v>U2000 ADR4550 и утечки</x:v>
      </x:c>
      <x:c r="D35" s="11" t="n">
        <x:v>0.002</x:v>
      </x:c>
      <x:c r="E35" s="11" t="n">
        <x:v>0.003</x:v>
      </x:c>
      <x:c r="F35" s="11" t="n">
        <x:v>0.002</x:v>
      </x:c>
      <x:c r="G35" s="13" t="str">
        <x:v>D07: собственный ток опоры предварительно; выходная нагрузка MAT_ADC_REF учитывается отдельно</x:v>
      </x:c>
      <x:c r="H35" s="13" t="str">
        <x:v>https://github.com/max-talanov/mira/tree/24b4428877257387bc5a686abd9e830a37f58770/hardware</x:v>
      </x:c>
    </x:row>
    <x:row r="36" ht="47" customHeight="1">
      <x:c r="A36" s="9" t="str">
        <x:v>MAT_ADC_REF</x:v>
      </x:c>
      <x:c r="B36" s="9" t="str">
        <x:v>Control</x:v>
      </x:c>
      <x:c r="C36" s="12" t="str">
        <x:v>Опорная цепь ADC и компараторов</x:v>
      </x:c>
      <x:c r="D36" s="11" t="n">
        <x:v>0.001</x:v>
      </x:c>
      <x:c r="E36" s="11" t="n">
        <x:v>0.005</x:v>
      </x:c>
      <x:c r="F36" s="11" t="n">
        <x:v>0.001</x:v>
      </x:c>
      <x:c r="G36" s="12" t="str">
        <x:v>D07: допущение; динамический ток зарядки входа ADC и буфер ещё проверить</x:v>
      </x:c>
      <x:c r="H36" s="12" t="str">
        <x:v>https://github.com/max-talanov/mira/tree/24b4428877257387bc5a686abd9e830a37f58770/hardware</x:v>
      </x:c>
    </x:row>
    <x:row r="37" ht="47" customHeight="1">
      <x:c r="A37" s="2" t="str">
        <x:v>USB5</x:v>
      </x:c>
      <x:c r="B37" s="2" t="str">
        <x:v>Control</x:v>
      </x:c>
      <x:c r="C37" s="13" t="str">
        <x:v>U706 HD3SS3220 VDD5</x:v>
      </x:c>
      <x:c r="D37" s="11" t="n">
        <x:v>0.02</x:v>
      </x:c>
      <x:c r="E37" s="11" t="n">
        <x:v>0.05</x:v>
      </x:c>
      <x:c r="F37" s="11" t="n">
        <x:v>0.02</x:v>
      </x:c>
      <x:c r="G37" s="13" t="str">
        <x:v>D10: резерв только контроллеру Type-C; внешняя нагрузка USB VBUS не разрешена и не учтена</x:v>
      </x:c>
      <x:c r="H37" s="13" t="str">
        <x:v>https://github.com/max-talanov/mira/tree/24b4428877257387bc5a686abd9e830a37f58770/hardware</x:v>
      </x:c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37C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5" hidden="0" customWidth="1"/>
    <x:col min="3" max="3" width="18" hidden="0" customWidth="1"/>
    <x:col min="4" max="4" width="12" hidden="0" customWidth="1"/>
    <x:col min="5" max="5" width="108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Входная мощность и исходные условия</x:v>
      </x:c>
      <x:c r="B2" s="2"/>
      <x:c r="C2" s="2"/>
      <x:c r="D2" s="2"/>
      <x:c r="E2" s="2"/>
    </x:row>
    <x:row r="3">
      <x:c r="A3" s="4" t="str">
        <x:v>Все сценарии используют один набор нагрузок. Источники и производные шины суммируются без повторного учёта.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0" customHeight="1">
      <x:c r="A5" s="8" t="str">
        <x:v>ID</x:v>
      </x:c>
      <x:c r="B5" s="8" t="str">
        <x:v>Параметр</x:v>
      </x:c>
      <x:c r="C5" s="8" t="str">
        <x:v>Значение</x:v>
      </x:c>
      <x:c r="D5" s="8" t="str">
        <x:v>Единица</x:v>
      </x:c>
      <x:c r="E5" s="8" t="str">
        <x:v>Основание</x:v>
      </x:c>
    </x:row>
    <x:row r="6" ht="34" customHeight="1">
      <x:c r="A6" s="9" t="str">
        <x:v>vin</x:v>
      </x:c>
      <x:c r="B6" s="9" t="str">
        <x:v>Вход номинальный</x:v>
      </x:c>
      <x:c r="C6" s="14" t="n">
        <x:v>24</x:v>
      </x:c>
      <x:c r="D6" s="9" t="str">
        <x:v>В</x:v>
      </x:c>
      <x:c r="E6" s="12" t="str">
        <x:v>D12: рабочая точка источника 24 В</x:v>
      </x:c>
    </x:row>
    <x:row r="7" ht="34" customHeight="1">
      <x:c r="A7" s="2" t="str">
        <x:v>vin_min</x:v>
      </x:c>
      <x:c r="B7" s="2" t="str">
        <x:v>Вход минимальный</x:v>
      </x:c>
      <x:c r="C7" s="14" t="n">
        <x:v>18</x:v>
      </x:c>
      <x:c r="D7" s="2" t="str">
        <x:v>В</x:v>
      </x:c>
      <x:c r="E7" s="13" t="str">
        <x:v>D12: расчёт по 18 В; окно eFuse шире</x:v>
      </x:c>
    </x:row>
    <x:row r="8" ht="34" customHeight="1">
      <x:c r="A8" s="9" t="str">
        <x:v>vin_max</x:v>
      </x:c>
      <x:c r="B8" s="9" t="str">
        <x:v>Вход максимальный</x:v>
      </x:c>
      <x:c r="C8" s="14" t="n">
        <x:v>36</x:v>
      </x:c>
      <x:c r="D8" s="9" t="str">
        <x:v>В</x:v>
      </x:c>
      <x:c r="E8" s="12" t="str">
        <x:v>D12: 36 В; проверить пределы и выбросы</x:v>
      </x:c>
    </x:row>
    <x:row r="9" ht="34" customHeight="1">
      <x:c r="A9" s="2" t="str">
        <x:v>cap_factor</x:v>
      </x:c>
      <x:c r="B9" s="2" t="str">
        <x:v>Множитель ёмкости</x:v>
      </x:c>
      <x:c r="C9" s="14" t="n">
        <x:v>1.2</x:v>
      </x:c>
      <x:c r="D9" s="2" t="str">
        <x:v>×</x:v>
      </x:c>
      <x:c r="E9" s="13" t="str">
        <x:v>D13: +20% к номиналу для оценки заряда; не модель DC-bias</x:v>
      </x:c>
    </x:row>
    <x:row r="10" ht="34" customHeight="1">
      <x:c r="A10" s="9" t="str">
        <x:v>reg_tol</x:v>
      </x:c>
      <x:c r="B10" s="9" t="str">
        <x:v>Отклонение выходного напряжения</x:v>
      </x:c>
      <x:c r="C10" s="15" t="n">
        <x:v>0.02</x:v>
      </x:c>
      <x:c r="D10" s="9" t="str">
        <x:v>доля</x:v>
      </x:c>
      <x:c r="E10" s="12" t="str">
        <x:v>D14: условные ±2%, включая делитель; не подтверждённый worst case</x:v>
      </x:c>
    </x:row>
    <x:row r="11" ht="34" customHeight="1">
      <x:c r="A11" s="2" t="str">
        <x:v>transient_v</x:v>
      </x:c>
      <x:c r="B11" s="2" t="str">
        <x:v>Запас на динамическую просадку</x:v>
      </x:c>
      <x:c r="C11" s="14" t="n">
        <x:v>0.01</x:v>
      </x:c>
      <x:c r="D11" s="2" t="str">
        <x:v>В</x:v>
      </x:c>
      <x:c r="E11" s="13" t="str">
        <x:v>D14: 10 мВ как начальное распределение допуска</x:v>
      </x:c>
    </x:row>
    <x:row r="12" ht="34" customHeight="1">
      <x:c r="A12" s="9" t="str">
        <x:v>contact_mohm</x:v>
      </x:c>
      <x:c r="B12" s="9" t="str">
        <x:v>Сопротивление одной контактной пары</x:v>
      </x:c>
      <x:c r="C12" s="14" t="n">
        <x:v>10</x:v>
      </x:c>
      <x:c r="D12" s="9" t="str">
        <x:v>мОм</x:v>
      </x:c>
      <x:c r="E12" s="12" t="str">
        <x:v>D15: 10 мОм условно. Δ15 мОм Samtec не является абсолютным сопротивлением</x:v>
      </x:c>
    </x:row>
    <x:row r="13" ht="34" customHeight="1">
      <x:c r="A13" s="2" t="str">
        <x:v>pcb_loop_mohm</x:v>
      </x:c>
      <x:c r="B13" s="2" t="str">
        <x:v>Сопротивление дорожек прямого и обратного пути</x:v>
      </x:c>
      <x:c r="C13" s="14" t="n">
        <x:v>5</x:v>
      </x:c>
      <x:c r="D13" s="2" t="str">
        <x:v>мОм</x:v>
      </x:c>
      <x:c r="E13" s="13" t="str">
        <x:v>D15: 5 мОм условно, без шунта и контактов</x:v>
      </x:c>
    </x:row>
    <x:row r="14" ht="34" customHeight="1">
      <x:c r="A14" s="9" t="str">
        <x:v>sharing_factor</x:v>
      </x:c>
      <x:c r="B14" s="9" t="str">
        <x:v>Неравномерность тока параллельных контактов</x:v>
      </x:c>
      <x:c r="C14" s="14" t="n">
        <x:v>1.25</x:v>
      </x:c>
      <x:c r="D14" s="9" t="str">
        <x:v>×</x:v>
      </x:c>
      <x:c r="E14" s="12" t="str">
        <x:v>D15: 1,25 для предварительной оценки</x:v>
      </x:c>
    </x:row>
    <x:row r="15" ht="34" customHeight="1">
      <x:c r="A15" s="2" t="str">
        <x:v>pin_budget_a</x:v>
      </x:c>
      <x:c r="B15" s="2" t="str">
        <x:v>Рабочий бюджет на контакт</x:v>
      </x:c>
      <x:c r="C15" s="14" t="n">
        <x:v>1</x:v>
      </x:c>
      <x:c r="D15" s="2" t="str">
        <x:v>А</x:v>
      </x:c>
      <x:c r="E15" s="13" t="str">
        <x:v>D15: 1 А условно; не паспортный ток выбранного разъёма</x:v>
      </x:c>
    </x:row>
    <x:row r="16" ht="34" customHeight="1">
      <x:c r="A16" s="9" t="str">
        <x:v>efuse_r_kohm</x:v>
      </x:c>
      <x:c r="B16" s="9" t="str">
        <x:v>R305 ILIM</x:v>
      </x:c>
      <x:c r="C16" s="14" t="n">
        <x:v>5.1</x:v>
      </x:c>
      <x:c r="D16" s="9" t="str">
        <x:v>кОм</x:v>
      </x:c>
      <x:c r="E16" s="12" t="str">
        <x:v>Схема: 5,1 кОм, 1%; номинальный IOL=18/R</x:v>
      </x:c>
    </x:row>
    <x:row r="17" ht="34" customHeight="1">
      <x:c r="A17" s="2" t="str">
        <x:v>efuse_tol</x:v>
      </x:c>
      <x:c r="B17" s="2" t="str">
        <x:v>Оценочный разброс порога eFuse</x:v>
      </x:c>
      <x:c r="C17" s="15" t="n">
        <x:v>0.1</x:v>
      </x:c>
      <x:c r="D17" s="2" t="str">
        <x:v>доля</x:v>
      </x:c>
      <x:c r="E17" s="13" t="str">
        <x:v>D16: ±10% плюс 1% R; консервативная оценка, не гарантия для 5,1 кОм</x:v>
      </x:c>
    </x:row>
    <x:row r="18" ht="34" customHeight="1">
      <x:c r="A18" s="9" t="str">
        <x:v>input_path_ohm</x:v>
      </x:c>
      <x:c r="B18" s="9" t="str">
        <x:v>Полное сопротивление входного тракта</x:v>
      </x:c>
      <x:c r="C18" s="14" t="n">
        <x:v>0.12</x:v>
      </x:c>
      <x:c r="D18" s="9" t="str">
        <x:v>Ом</x:v>
      </x:c>
      <x:c r="E18" s="12" t="str">
        <x:v>D17: 0,12 Ом, включая кабель/контакты/защиту/шунт; уточнить</x:v>
      </x:c>
    </x:row>
    <x:row r="19" ht="34" customHeight="1">
      <x:c r="A19" s="2" t="str">
        <x:v>input_cap_uF</x:v>
      </x:c>
      <x:c r="B19" s="2" t="str">
        <x:v>Ёмкость при первом подъёме BUS24</x:v>
      </x:c>
      <x:c r="C19" s="14" t="n">
        <x:v>149</x:v>
      </x:c>
      <x:c r="D19" s="2" t="str">
        <x:v>мкФ</x:v>
      </x:c>
      <x:c r="E19" s="13" t="str">
        <x:v>Схема: 144,2 мкФ к GND + 4,8 мкФ BUS24–N15_RAW; нижние преобразователи выключены</x:v>
      </x:c>
    </x:row>
    <x:row r="20" ht="34" customHeight="1">
      <x:c r="A20" s="9" t="str">
        <x:v>input_slew_v_ms</x:v>
      </x:c>
      <x:c r="B20" s="9" t="str">
        <x:v>Скорость подъёма eFuse</x:v>
      </x:c>
      <x:c r="C20" s="14" t="n">
        <x:v>0.5</x:v>
      </x:c>
      <x:c r="D20" s="9" t="str">
        <x:v>В/мс</x:v>
      </x:c>
      <x:c r="E20" s="12" t="str">
        <x:v>Схема: C304=100 нФ, около 0,5 В/мс; типовое значение</x:v>
      </x:c>
    </x:row>
    <x:row r="21" ht="34" customHeight="1">
      <x:c r="A21" s="2" t="str">
        <x:v>vin_aux_a</x:v>
      </x:c>
      <x:c r="B21" s="2" t="str">
        <x:v>Входная служебная нагрузка</x:v>
      </x:c>
      <x:c r="C21" s="14" t="n">
        <x:v>0.015</x:v>
      </x:c>
      <x:c r="D21" s="2" t="str">
        <x:v>А</x:v>
      </x:c>
      <x:c r="E21" s="13" t="str">
        <x:v>D17: 15 мА на индикацию, делители и собственное потребление</x:v>
      </x:c>
    </x:row>
    <x:row r="22" ht="34" customHeight="1">
      <x:c r="A22" s="9" t="str">
        <x:v>reserve_factor</x:v>
      </x:c>
      <x:c r="B22" s="9" t="str">
        <x:v>Резерв внешнего БП по мощности</x:v>
      </x:c>
      <x:c r="C22" s="14" t="n">
        <x:v>1.25</x:v>
      </x:c>
      <x:c r="D22" s="9" t="str">
        <x:v>×</x:v>
      </x:c>
      <x:c r="E22" s="12" t="str">
        <x:v>D18: 25% для предварительного выбора мощности, не заказ БП</x:v>
      </x:c>
    </x:row>
    <x:row r="23" ht="34" customHeight="1">
      <x:c r="A23" s="2"/>
      <x:c r="B23" s="2"/>
      <x:c r="C23" s="2"/>
      <x:c r="D23" s="2"/>
      <x:c r="E23" s="13"/>
    </x:row>
    <x:row r="24" ht="34" customHeight="1">
      <x:c r="A24" s="9"/>
      <x:c r="B24" s="9"/>
      <x:c r="C24" s="9"/>
      <x:c r="D24" s="9"/>
      <x:c r="E24" s="12"/>
    </x:row>
    <x:row r="25" ht="34" customHeight="1">
      <x:c r="A25" s="2"/>
      <x:c r="B25" s="2" t="str">
        <x:v>Мощность на BUS24, средний сценарий, Вт</x:v>
      </x:c>
      <x:c r="C25" s="17" t="n">
        <x:f>('Шины'!P6+'Шины'!P7+'Шины'!P8+'Шины'!P9+'Шины'!P18+'Шины'!P21+'Шины'!P22)*C6+C6*C21</x:f>
        <x:v>14.54900977618701</x:v>
      </x:c>
      <x:c r="D25" s="2"/>
      <x:c r="E25" s="13"/>
    </x:row>
    <x:row r="26" ht="34" customHeight="1">
      <x:c r="A26" s="9"/>
      <x:c r="B26" s="9" t="str">
        <x:v>Мощность на BUS24, пиковый сценарий, Вт</x:v>
      </x:c>
      <x:c r="C26" s="16" t="n">
        <x:f>('Шины'!Q6+'Шины'!Q7+'Шины'!Q8+'Шины'!Q9+'Шины'!Q18+'Шины'!Q21+'Шины'!Q22)*C6+C6*C21</x:f>
        <x:v>32.279067883702865</x:v>
      </x:c>
      <x:c r="D26" s="9"/>
      <x:c r="E26" s="12"/>
    </x:row>
    <x:row r="27" ht="34" customHeight="1">
      <x:c r="A27" s="2"/>
      <x:c r="B27" s="2" t="str">
        <x:v>Огибающая пуска преобразователей, Вт</x:v>
      </x:c>
      <x:c r="C27" s="17" t="n">
        <x:f>('Пуск'!K6+'Пуск'!K7+'Пуск'!K8+'Пуск'!K9+'Пуск'!K18+'Пуск'!K21+'Пуск'!K22)*C6+C6*C21</x:f>
        <x:v>38.380913476802405</x:v>
      </x:c>
      <x:c r="D27" s="2"/>
      <x:c r="E27" s="13"/>
    </x:row>
    <x:row r="28" ht="34" customHeight="1">
      <x:c r="A28" s="9"/>
      <x:c r="B28" s="9"/>
      <x:c r="C28" s="16"/>
      <x:c r="D28" s="9"/>
      <x:c r="E28" s="12"/>
    </x:row>
    <x:row r="29" ht="34" customHeight="1">
      <x:c r="A29" s="2"/>
      <x:c r="B29" s="2" t="str">
        <x:v>Ток входа при номинальном Vin, средний, А</x:v>
      </x:c>
      <x:c r="C29" s="17" t="n">
        <x:f>IF(C18=0,C25/C6,(C6-SQRT(C6^2-4*C18*C25))/(2*C18))</x:f>
        <x:v>0.6080574097421761</x:v>
      </x:c>
      <x:c r="D29" s="2"/>
      <x:c r="E29" s="13"/>
    </x:row>
    <x:row r="30" ht="34" customHeight="1">
      <x:c r="A30" s="9"/>
      <x:c r="B30" s="9" t="str">
        <x:v>Ток входа при номинальном Vin, пик, А</x:v>
      </x:c>
      <x:c r="C30" s="16" t="n">
        <x:f>IF(C18=0,C26/C6,(C6-SQRT(C6^2-4*C18*C26))/(2*C18))</x:f>
        <x:v>1.3541294952707617</x:v>
      </x:c>
      <x:c r="D30" s="9"/>
      <x:c r="E30" s="12"/>
    </x:row>
    <x:row r="31" ht="34" customHeight="1">
      <x:c r="A31" s="2"/>
      <x:c r="B31" s="2" t="str">
        <x:v>Ток входа при минимальном Vin, пик, А</x:v>
      </x:c>
      <x:c r="C31" s="17" t="n">
        <x:f>IF(C18=0,C26/C7,(C7-SQRT(C7^2-4*C18*C26))/(2*C18))</x:f>
        <x:v>1.8152490771758512</x:v>
      </x:c>
      <x:c r="D31" s="2"/>
      <x:c r="E31" s="13"/>
    </x:row>
    <x:row r="32" ht="34" customHeight="1">
      <x:c r="A32" s="9"/>
      <x:c r="B32" s="9" t="str">
        <x:v>Ток входа при минимальном Vin, пуск, А</x:v>
      </x:c>
      <x:c r="C32" s="16" t="n">
        <x:f>IF(C18=0,C27/C7,(C7-SQRT(C7^2-4*C18*C27))/(2*C18))</x:f>
        <x:v>2.1634771947481055</x:v>
      </x:c>
      <x:c r="D32" s="9"/>
      <x:c r="E32" s="12"/>
    </x:row>
    <x:row r="33" ht="34" customHeight="1">
      <x:c r="A33" s="2"/>
      <x:c r="B33" s="2"/>
      <x:c r="C33" s="17"/>
      <x:c r="D33" s="2"/>
      <x:c r="E33" s="13"/>
    </x:row>
    <x:row r="34" ht="34" customHeight="1">
      <x:c r="A34" s="9"/>
      <x:c r="B34" s="9" t="str">
        <x:v>Порог eFuse номинальный, А</x:v>
      </x:c>
      <x:c r="C34" s="16" t="n">
        <x:f>18/C16</x:f>
        <x:v>3.5294117647058827</x:v>
      </x:c>
      <x:c r="D34" s="9"/>
      <x:c r="E34" s="12"/>
    </x:row>
    <x:row r="35" ht="34" customHeight="1">
      <x:c r="A35" s="2"/>
      <x:c r="B35" s="2" t="str">
        <x:v>Нижняя оценка порога eFuse, А</x:v>
      </x:c>
      <x:c r="C35" s="17" t="n">
        <x:f>C34*(1-C17)/1.01</x:f>
        <x:v>3.1450203843913807</x:v>
      </x:c>
      <x:c r="D35" s="2"/>
      <x:c r="E35" s="13"/>
    </x:row>
    <x:row r="36" ht="34" customHeight="1">
      <x:c r="A36" s="9"/>
      <x:c r="B36" s="9" t="str">
        <x:v>Запас eFuse к пику при Vin min, А</x:v>
      </x:c>
      <x:c r="C36" s="16" t="n">
        <x:f>C35-C31</x:f>
        <x:v>1.3297713072155295</x:v>
      </x:c>
      <x:c r="D36" s="9"/>
      <x:c r="E36" s="12"/>
    </x:row>
    <x:row r="37" ht="34" customHeight="1">
      <x:c r="A37" s="2"/>
      <x:c r="B37" s="2" t="str">
        <x:v>Пиковая входная мощность с резервом БП, Вт</x:v>
      </x:c>
      <x:c r="C37" s="17" t="n">
        <x:f>C30*C6*C22</x:f>
        <x:v>40.62388485812285</x:v>
      </x:c>
      <x:c r="D37" s="2"/>
      <x:c r="E37" s="13"/>
    </x:row>
    <x:row r="38" ht="34" customHeight="1">
      <x:c r="A38" s="9"/>
      <x:c r="B38" s="9"/>
      <x:c r="C38" s="16"/>
      <x:c r="D38" s="9"/>
      <x:c r="E38" s="12"/>
    </x:row>
    <x:row r="39" ht="34" customHeight="1">
      <x:c r="A39" s="2"/>
      <x:c r="B39" s="2" t="str">
        <x:v>Начальный заряд BUS24, А</x:v>
      </x:c>
      <x:c r="C39" s="17" t="n">
        <x:f>C19*C9*C20/1000</x:f>
        <x:v>0.0894</x:v>
      </x:c>
      <x:c r="D39" s="2"/>
      <x:c r="E39" s="13"/>
    </x:row>
    <x:row r="40" ht="34" customHeight="1">
      <x:c r="A40" s="9"/>
      <x:c r="B40" s="9" t="str">
        <x:v>Время подъёма до 24 В, мс</x:v>
      </x:c>
      <x:c r="C40" s="16" t="n">
        <x:f>C6/C20</x:f>
        <x:v>48</x:v>
      </x:c>
      <x:c r="D40" s="9"/>
      <x:c r="E40" s="12"/>
    </x:row>
    <x:row r="41" ht="34" customHeight="1">
      <x:c r="A41" s="2"/>
      <x:c r="B41" s="2" t="str">
        <x:v>F201, номинал, А</x:v>
      </x:c>
      <x:c r="C41" s="17" t="n">
        <x:v>5</x:v>
      </x:c>
      <x:c r="D41" s="2"/>
      <x:c r="E41" s="13"/>
    </x:row>
    <x:row r="42" ht="34" customHeight="1">
      <x:c r="A42" s="9"/>
      <x:c r="B42" s="9" t="str">
        <x:v>R401, Ом</x:v>
      </x:c>
      <x:c r="C42" s="16" t="n">
        <x:v>0.02</x:v>
      </x:c>
      <x:c r="D42" s="9"/>
      <x:c r="E42" s="12"/>
    </x:row>
    <x:row r="43" ht="34" customHeight="1">
      <x:c r="A43" s="2"/>
      <x:c r="B43" s="2" t="str">
        <x:v>Нагрев R401 при пике Vin min, Вт</x:v>
      </x:c>
      <x:c r="C43" s="17" t="n">
        <x:f>C31^2*C42</x:f>
        <x:v>0.06590258424375559</x:v>
      </x:c>
      <x:c r="D43" s="2"/>
      <x:c r="E43" s="13"/>
    </x:row>
    <x:row r="44" ht="34" customHeight="1">
      <x:c r="A44" s="9"/>
      <x:c r="B44" s="9" t="str">
        <x:v>Рассеяние входного тракта при пике Vin min, Вт</x:v>
      </x:c>
      <x:c r="C44" s="16" t="n">
        <x:f>C31^2*C18</x:f>
        <x:v>0.39541550546253346</x:v>
      </x:c>
      <x:c r="D44" s="9"/>
      <x:c r="E44" s="12"/>
    </x:row>
    <x:row r="45" ht="34" customHeight="1">
      <x:c r="A45" s="2"/>
      <x:c r="B45" s="2"/>
      <x:c r="C45" s="17"/>
      <x:c r="D45" s="2"/>
      <x:c r="E45" s="13"/>
    </x:row>
    <x:row r="46" ht="34" customHeight="1">
      <x:c r="A46" s="9"/>
      <x:c r="B46" s="9" t="str">
        <x:v>N15, оценка тока при 24 В, А</x:v>
      </x:c>
      <x:c r="C46" s="16" t="n">
        <x:f>1-ABS('Шины'!D22)/(ABS('Шины'!D22)+C6*'Шины'!H22)</x:f>
        <x:v>0.5615669666490206</x:v>
      </x:c>
      <x:c r="D46" s="9"/>
      <x:c r="E46" s="12"/>
    </x:row>
    <x:row r="47" ht="34" customHeight="1">
      <x:c r="A47" s="2"/>
      <x:c r="B47" s="2" t="str">
        <x:v>N15, оценка тока при Vin min, А</x:v>
      </x:c>
      <x:c r="C47" s="17" t="n">
        <x:f>'Шины'!E22</x:f>
        <x:v>0.48996181795787663</x:v>
      </x:c>
      <x:c r="D47" s="2"/>
      <x:c r="E47" s="13"/>
    </x:row>
    <x:row r="48" ht="34" customHeight="1">
      <x:c r="A48" s="9"/>
      <x:c r="B48" s="9" t="str">
        <x:v>N15: требуемая рампа, дочерние пуски в огибающей, мс</x:v>
      </x:c>
      <x:c r="C48" s="16" t="n">
        <x:f>IF('Шины'!E22&lt;='Пуск'!G22+'Пуск'!H22,"нет запаса",'Пуск'!D22*C9*ABS('Шины'!D22)/(1000*('Шины'!E22-'Пуск'!G22-'Пуск'!H22)))</x:f>
        <x:v>7.279572534175508</x:v>
      </x:c>
      <x:c r="D48" s="9"/>
      <x:c r="E48" s="12"/>
    </x:row>
    <x:row r="49" ht="34" customHeight="1">
      <x:c r="A49" s="2"/>
      <x:c r="B49" s="2"/>
      <x:c r="C49" s="17"/>
      <x:c r="D49" s="2"/>
      <x:c r="E49" s="13"/>
    </x:row>
    <x:row r="50" ht="34" customHeight="1">
      <x:c r="A50" s="9"/>
      <x:c r="B50" s="9" t="str">
        <x:v>VTT: число внешних терминаций</x:v>
      </x:c>
      <x:c r="C50" s="16" t="n">
        <x:v>23</x:v>
      </x:c>
      <x:c r="D50" s="9"/>
      <x:c r="E50" s="12"/>
    </x:row>
    <x:row r="51" ht="34" customHeight="1">
      <x:c r="A51" s="2"/>
      <x:c r="B51" s="2" t="str">
        <x:v>VTT: сопротивление терминации, Ом</x:v>
      </x:c>
      <x:c r="C51" s="17" t="n">
        <x:v>49.9</x:v>
      </x:c>
      <x:c r="D51" s="2"/>
      <x:c r="E51" s="13"/>
    </x:row>
    <x:row r="52" ht="34" customHeight="1">
      <x:c r="A52" s="9"/>
      <x:c r="B52" s="9" t="str">
        <x:v>VTT: предельный source/sink, А</x:v>
      </x:c>
      <x:c r="C52" s="16" t="n">
        <x:f>C50*ABS('Шины'!D16)/C51</x:f>
        <x:v>0.31112224448897796</x:v>
      </x:c>
      <x:c r="D52" s="9"/>
      <x:c r="E52" s="12"/>
    </x:row>
    <x:row r="53" ht="34" customHeight="1">
      <x:c r="A53" s="2"/>
      <x:c r="B53" s="2" t="str">
        <x:v>VTT: суммарное рассеяние терминаций, Вт</x:v>
      </x:c>
      <x:c r="C53" s="17" t="n">
        <x:f>C50*'Шины'!D16^2/C51</x:f>
        <x:v>0.21000751503006015</x:v>
      </x:c>
      <x:c r="D53" s="2"/>
      <x:c r="E53" s="13"/>
    </x:row>
    <x:row r="54" ht="34" customHeight="1">
      <x:c r="A54" s="9"/>
      <x:c r="B54" s="9"/>
      <x:c r="C54" s="16"/>
      <x:c r="D54" s="9"/>
      <x:c r="E54" s="12"/>
    </x:row>
    <x:row r="55" ht="34" customHeight="1">
      <x:c r="A55" s="2"/>
      <x:c r="B55" s="2" t="str">
        <x:v>FPGA: типовая основа стартового тока core+BRAM, А</x:v>
      </x:c>
      <x:c r="C55" s="17" t="n">
        <x:v>0.759</x:v>
      </x:c>
      <x:c r="D55" s="2"/>
      <x:c r="E55" s="13" t="str">
        <x:v>AMD: (328+340)+(11+80)=759 мА; исходный ICCQ типовой при Tj=85°C, не гарантированный максимум.</x:v>
      </x:c>
    </x:row>
    <x:row r="56" ht="34" customHeight="1">
      <x:c r="A56" s="9"/>
      <x:c r="B56" s="9"/>
      <x:c r="C56" s="9"/>
      <x:c r="D56" s="9"/>
      <x:c r="E56" s="12"/>
    </x:row>
    <x:row r="57" ht="34" customHeight="1">
      <x:c r="A57" s="2"/>
      <x:c r="B57" s="2" t="str">
        <x:v>Примечание к пуску</x:v>
      </x:c>
      <x:c r="C57" s="2"/>
      <x:c r="D57" s="2"/>
      <x:c r="E57" s="13" t="str">
        <x:v>C39 — первый подъём BUS24 при выключенных DC/DC. C32 — отдельная огибающая запуска вторичных шин; эти этапы не суммируются автоматически.</x:v>
      </x:c>
    </x:row>
    <x:row r="58" ht="34" customHeight="1">
      <x:c r="A58" s="9"/>
      <x:c r="B58" s="9" t="str">
        <x:v>Примечание к VTT</x:v>
      </x:c>
      <x:c r="C58" s="9"/>
      <x:c r="D58" s="9"/>
      <x:c r="E58" s="12" t="str">
        <x:v>Пик DDR рассчитан для максимального source VTT. При sink ток приходит через FPGA; в балансе нельзя считать его рекуперацией.</x:v>
      </x:c>
    </x:row>
    <x:row r="59" ht="34" customHeight="1">
      <x:c r="A59" s="2"/>
      <x:c r="B59" s="2" t="str">
        <x:v>Примечание к входной защите</x:v>
      </x:c>
      <x:c r="C59" s="2"/>
      <x:c r="D59" s="2"/>
      <x:c r="E59" s="13" t="str">
        <x:v>5 А у F201 не являются мгновенным порогом. Температурное снижение, I²t, повторные импульсы и отключение ещё проверить.</x:v>
      </x:c>
    </x:row>
    <x:row r="60" ht="34" customHeight="1">
      <x:c r="A60" s="9"/>
      <x:c r="B60" s="9" t="str">
        <x:v>Источник входных настроек</x:v>
      </x:c>
      <x:c r="C60" s="9"/>
      <x:c r="D60" s="9"/>
      <x:c r="E60" s="12" t="str">
        <x:v>https://github.com/max-talanov/mira/tree/24b4428877257387bc5a686abd9e830a37f58770/hardware; https://www.ti.com/lit/ds/symlink/tps2663.pdf</x:v>
      </x:c>
    </x:row>
    <x:row r="61" ht="34" customHeight="1">
      <x:c r="A61" s="2"/>
      <x:c r="B61" s="2" t="str">
        <x:v>Источник N15</x:v>
      </x:c>
      <x:c r="C61" s="2"/>
      <x:c r="D61" s="2"/>
      <x:c r="E61" s="13" t="str">
        <x:v>https://www.ti.com/lit/an/slvafp0/slvafp0.pdf</x:v>
      </x:c>
    </x:row>
    <x:row r="62" ht="34" customHeight="1">
      <x:c r="A62" s="9"/>
      <x:c r="B62" s="9" t="str">
        <x:v>Источник FPGA</x:v>
      </x:c>
      <x:c r="C62" s="9"/>
      <x:c r="D62" s="9"/>
      <x:c r="E62" s="12" t="str">
        <x:v>https://docs.amd.com/v/u/en-US/ds181_Artix_7_Data_Sheet</x:v>
      </x:c>
    </x:row>
    <x:row r="63" ht="34" customHeight="1">
      <x:c r="A63" s="2"/>
      <x:c r="B63" s="2" t="str">
        <x:v>Источник контактных ограничений</x:v>
      </x:c>
      <x:c r="C63" s="2"/>
      <x:c r="D63" s="2"/>
      <x:c r="E63" s="13" t="str">
        <x:v>https://suddendocs.samtec.com/productspecs/tsw-sxx.pdf</x:v>
      </x:c>
    </x:row>
    <x:row r="64" ht="34" customHeight="1">
      <x:c r="A64" s="9"/>
      <x:c r="B64" s="9"/>
      <x:c r="C64" s="9"/>
      <x:c r="D64" s="9"/>
      <x:c r="E64" s="12" t="str">
        <x:v>Samtec SSW/TSW: 4,7 А при одном нагруженном контакте в каждом ряду. Этот рейтинг не перенесён на все 64 контакта J400.</x:v>
      </x:c>
    </x:row>
    <x:row r="65" ht="42" customHeight="1">
      <x:c r="A65" s="2"/>
      <x:c r="B65" s="2" t="str">
        <x:v>D20: КПД и собственное потребление</x:v>
      </x:c>
      <x:c r="C65" s="2"/>
      <x:c r="D65" s="2"/>
      <x:c r="E65" s="13" t="str">
        <x:v>КПД и Iq на листе «Шины» — предварительные значения. Они не заменяют кривые КПД, Iq в рабочем режиме, тепловой расчёт и потери дросселей. При 18 В мощность нагрузки считается постоянной.</x:v>
      </x:c>
    </x:row>
    <x:row r="66" ht="42" customHeight="1">
      <x:c r="A66" s="9"/>
      <x:c r="B66" s="9" t="str">
        <x:v>Границы модели</x:v>
      </x:c>
      <x:c r="C66" s="9"/>
      <x:c r="D66" s="9"/>
      <x:c r="E66" s="12" t="str">
        <x:v>Предполагается штатная работа узлов после устранения открытых электрических вопросов I01–I08 и E01–E07. Это не расчёт аварийного потребления и не подтверждение фактической связности схем.</x:v>
      </x:c>
    </x:row>
    <x:row r="67" ht="27" customHeight="1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  <x:row r="71">
      <x:c r="A71" s="2"/>
      <x:c r="B71" s="2"/>
      <x:c r="C71" s="2"/>
      <x:c r="D71" s="2"/>
      <x:c r="E71" s="2"/>
    </x:row>
    <x:row r="72">
      <x:c r="A72" s="2"/>
      <x:c r="B72" s="2"/>
      <x:c r="C72" s="2"/>
      <x:c r="D72" s="2"/>
      <x:c r="E72" s="2"/>
    </x:row>
  </x:sheetData>
  <x:pageMargins left="0.7" right="0.7" top="0.75" bottom="0.75" header="0.3" footer="0.3"/>
</x:worksheet>
</file>