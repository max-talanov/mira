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fb13c67afe4c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тог" sheetId="1" r:id="R7b685b285528471d"/>
    <x:sheet xmlns:r="http://schemas.openxmlformats.org/officeDocument/2006/relationships" name="Шины" sheetId="2" r:id="Rfc9f5733c5ac4ec3"/>
    <x:sheet xmlns:r="http://schemas.openxmlformats.org/officeDocument/2006/relationships" name="Пуск" sheetId="3" r:id="R35ec77e0246b4fa2"/>
    <x:sheet xmlns:r="http://schemas.openxmlformats.org/officeDocument/2006/relationships" name="Контакты" sheetId="4" r:id="R665859b3078b4ab9"/>
    <x:sheet xmlns:r="http://schemas.openxmlformats.org/officeDocument/2006/relationships" name="Нагрузки" sheetId="5" r:id="R3c03f413e94d4549"/>
    <x:sheet xmlns:r="http://schemas.openxmlformats.org/officeDocument/2006/relationships" name="Вход" sheetId="6" r:id="R8fd82756182944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0"/>
    <x:numFmt numFmtId="201" formatCode="0.000"/>
    <x:numFmt numFmtId="202" formatCode="0.0%"/>
    <x:numFmt numFmtId="203" formatCode="0"/>
    <x:numFmt numFmtId="204" formatCode="0.000000"/>
  </x:numFmts>
  <x:fonts count="5">
    <x:font>
      <x:sz val="11"/>
      <x:name val="Carlito"/>
    </x:font>
    <x:font>
      <x:sz val="10"/>
      <x:color rgb="FF1F2937"/>
      <x:name val="Arial"/>
    </x:font>
    <x:font>
      <x:b/>
      <x:sz val="15"/>
      <x:color rgb="FF24364B"/>
      <x:name val="Arial"/>
    </x:font>
    <x:font>
      <x:sz val="10"/>
      <x:color rgb="FF526170"/>
      <x:name val="Arial"/>
    </x:font>
    <x:font>
      <x:b/>
      <x:sz val="10"/>
      <x:color rgb="FFFFFFFF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24364B"/>
      </x:patternFill>
    </x:fill>
    <x:fill>
      <x:patternFill patternType="solid">
        <x:fgColor rgb="FFF2F5F8"/>
      </x:patternFill>
    </x:fill>
    <x:fill>
      <x:patternFill patternType="solid">
        <x:fgColor rgb="FFFFF0CB"/>
      </x:patternFill>
    </x:fill>
    <x:fill>
      <x:patternFill patternType="solid">
        <x:fgColor rgb="FFEAF2FA"/>
      </x:patternFill>
    </x:fill>
    <x:fill>
      <x:patternFill patternType="solid">
        <x:fgColor rgb="FF24364B"/>
      </x:patternFill>
    </x:fill>
    <x:fill>
      <x:patternFill patternType="solid">
        <x:fgColor rgb="FFFFF0CB"/>
      </x:patternFill>
    </x:fill>
    <x:fill>
      <x:patternFill patternType="solid">
        <x:fgColor rgb="FFEAF2F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1" fontId="1" fillId="4" borderId="0" xfId="0" applyNumberFormat="1" applyFont="1" applyFill="1" applyBorder="1" applyAlignment="1">
      <x:alignment vertical="center"/>
    </x:xf>
    <x:xf numFmtId="202" fontId="1" fillId="4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3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0" fontId="1" fillId="5" borderId="0" xfId="0" applyNumberFormat="1" applyFont="1" applyFill="1" applyBorder="1" applyAlignment="1">
      <x:alignment vertical="center"/>
    </x:xf>
    <x:xf numFmtId="204" fontId="1" fillId="4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horizont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200" fontId="0" fillId="7" borderId="0" xfId="0" applyNumberFormat="1" applyFont="1" applyFill="1" applyBorder="1"/>
    <x:xf numFmtId="200" fontId="1" fillId="8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 wrapText="1"/>
    </x:xf>
    <x:xf numFmtId="204" fontId="1" fillId="0" borderId="0" xfId="0" applyNumberFormat="1" applyFont="1" applyFill="1" applyBorder="1" applyAlignment="1">
      <x:alignment vertical="center"/>
    </x:xf>
    <x:xf numFmtId="204" fontId="1" fillId="7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5">
    <x:dxf>
      <x:font>
        <x:b/>
        <x:color rgb="FF9B2424"/>
      </x:font>
      <x:fill>
        <x:patternFill>
          <x:bgColor rgb="FFFBE4E4"/>
        </x:patternFill>
      </x:fill>
    </x:dxf>
    <x:dxf>
      <x:font>
        <x:b/>
        <x:color rgb="FF9B2424"/>
      </x:font>
      <x:fill>
        <x:patternFill>
          <x:bgColor rgb="FFFBE4E4"/>
        </x:patternFill>
      </x:fill>
    </x:dxf>
    <x:dxf>
      <x:font>
        <x:b/>
        <x:color rgb="FF9B2424"/>
      </x:font>
      <x:fill>
        <x:patternFill>
          <x:bgColor rgb="FFFBE4E4"/>
        </x:patternFill>
      </x:fill>
    </x:dxf>
    <x:dxf>
      <x:font>
        <x:b/>
        <x:color rgb="FF9B2424"/>
      </x:font>
      <x:fill>
        <x:patternFill>
          <x:bgColor rgb="FFFBE4E4"/>
        </x:patternFill>
      </x:fill>
    </x:dxf>
    <x:dxf>
      <x:font>
        <x:b/>
        <x:color rgb="FF9B2424"/>
      </x:font>
      <x:fill>
        <x:patternFill patternType="solid">
          <x:bgColor rgb="FFFBE4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5d12293fee4e83" /><Relationship Type="http://schemas.openxmlformats.org/officeDocument/2006/relationships/theme" Target="/xl/theme/theme1.xml" Id="Rfb5831afa82242c6" /><Relationship Type="http://schemas.openxmlformats.org/officeDocument/2006/relationships/sharedStrings" Target="/xl/sharedStrings.xml" Id="Rc1b63c842bda4fd4" /><Relationship Type="http://schemas.openxmlformats.org/officeDocument/2006/relationships/worksheet" Target="/xl/worksheets/sheet1.xml" Id="R7b685b285528471d" /><Relationship Type="http://schemas.openxmlformats.org/officeDocument/2006/relationships/worksheet" Target="/xl/worksheets/sheet2.xml" Id="Rfc9f5733c5ac4ec3" /><Relationship Type="http://schemas.openxmlformats.org/officeDocument/2006/relationships/worksheet" Target="/xl/worksheets/sheet3.xml" Id="R35ec77e0246b4fa2" /><Relationship Type="http://schemas.openxmlformats.org/officeDocument/2006/relationships/worksheet" Target="/xl/worksheets/sheet4.xml" Id="R665859b3078b4ab9" /><Relationship Type="http://schemas.openxmlformats.org/officeDocument/2006/relationships/worksheet" Target="/xl/worksheets/sheet5.xml" Id="R3c03f413e94d4549" /><Relationship Type="http://schemas.openxmlformats.org/officeDocument/2006/relationships/worksheet" Target="/xl/worksheets/sheet6.xml" Id="R8fd827561829446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364B"/>
  </x:sheetPr>
  <x:sheetViews>
    <x:sheetView showGridLines="0" workbookViewId="0"/>
  </x:sheetViews>
  <x:sheetFormatPr defaultRowHeight="15"/>
  <x:cols>
    <x:col min="1" max="1" width="19" hidden="0" customWidth="1"/>
    <x:col min="2" max="2" width="16" hidden="0" customWidth="1"/>
    <x:col min="3" max="3" width="23" hidden="0" customWidth="1"/>
    <x:col min="4" max="4" width="23" hidden="0" customWidth="1"/>
    <x:col min="5" max="5" width="24" hidden="0" customWidth="1"/>
    <x:col min="6" max="6" width="23" hidden="0" customWidth="1"/>
    <x:col min="7" max="7" width="23" hidden="0" customWidth="1"/>
    <x:col min="8" max="8" width="24" hidden="0" customWidth="1"/>
    <x:col min="9" max="9" width="53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</x:row>
    <x:row r="2">
      <x:c r="A2" s="3" t="str">
        <x:v>MIRA — питание и нагрузка разъёмов</x:v>
      </x:c>
      <x:c r="B2" s="2"/>
      <x:c r="C2" s="2"/>
      <x:c r="D2" s="2"/>
      <x:c r="E2" s="2"/>
      <x:c r="F2" s="2"/>
      <x:c r="G2" s="2"/>
      <x:c r="H2" s="2"/>
      <x:c r="I2" s="2"/>
    </x:row>
    <x:row r="3">
      <x:c r="A3" s="4" t="str">
        <x:v>28.10.2026. Схема 52f4386: восемь пар разъёмов. Пик нагрузок включает +30% к предварительным допущениям.</x:v>
      </x:c>
      <x:c r="B3" s="2"/>
      <x:c r="C3" s="2"/>
      <x:c r="D3" s="2"/>
      <x:c r="E3" s="2"/>
      <x:c r="F3" s="2"/>
      <x:c r="G3" s="2"/>
      <x:c r="H3" s="2"/>
      <x:c r="I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</x:row>
    <x:row r="5" ht="40" customHeight="1">
      <x:c r="A5" s="8" t="str">
        <x:v>Шина</x:v>
      </x:c>
      <x:c r="B5" s="8" t="str">
        <x:v>Vraw модели, В</x:v>
      </x:c>
      <x:c r="C5" s="8" t="str">
        <x:v>Источник: ср., А</x:v>
      </x:c>
      <x:c r="D5" s="8" t="str">
        <x:v>Источник: пик, А</x:v>
      </x:c>
      <x:c r="E5" s="8" t="str">
        <x:v>Источник: пуск, А</x:v>
      </x:c>
      <x:c r="F5" s="8" t="str">
        <x:v>Пик Control, А</x:v>
      </x:c>
      <x:c r="G5" s="8" t="str">
        <x:v>Силовых контактов всего</x:v>
      </x:c>
      <x:c r="H5" s="8" t="str">
        <x:v>CORE: запас, мВ</x:v>
      </x:c>
      <x:c r="I5" s="8" t="str">
        <x:v>Статус</x:v>
      </x:c>
    </x:row>
    <x:row r="6" ht="38" customHeight="1">
      <x:c r="A6" s="9" t="str">
        <x:v>AON</x:v>
      </x:c>
      <x:c r="B6" s="16" t="n">
        <x:f>'Шины'!D6</x:f>
        <x:v>3.28</x:v>
      </x:c>
      <x:c r="C6" s="16" t="n">
        <x:f>'Шины'!N6</x:f>
        <x:v>0.1221</x:v>
      </x:c>
      <x:c r="D6" s="16" t="n">
        <x:f>'Шины'!O6</x:f>
        <x:v>0.26780000000000004</x:v>
      </x:c>
      <x:c r="E6" s="16" t="n">
        <x:f>'Пуск'!J6</x:f>
        <x:v>0.16651348</x:v>
      </x:c>
      <x:c r="F6" s="16" t="n">
        <x:f>SUMIFS('Нагрузки'!$E$6:$E$37,'Нагрузки'!$A$6:$A$37,"AON",'Нагрузки'!$B$6:$B$37,"Control")+0</x:f>
        <x:v>0.006500000000000001</x:v>
      </x:c>
      <x:c r="G6" s="9" t="n">
        <x:v>3</x:v>
      </x:c>
      <x:c r="H6" s="16" t="str">
        <x:v>Требуется PCB</x:v>
      </x:c>
      <x:c r="I6" s="12" t="str">
        <x:v>MPN выбраны; ветви и нагрев ещё проверить</x:v>
      </x:c>
    </x:row>
    <x:row r="7" ht="38" customHeight="1">
      <x:c r="A7" s="2" t="str">
        <x:v>SYS3V3</x:v>
      </x:c>
      <x:c r="B7" s="17" t="n">
        <x:f>'Шины'!D7</x:f>
        <x:v>3.314814814814815</x:v>
      </x:c>
      <x:c r="C7" s="17" t="n">
        <x:f>'Шины'!N7</x:f>
        <x:v>0.43500000000000005</x:v>
      </x:c>
      <x:c r="D7" s="17" t="n">
        <x:f>'Шины'!O7</x:f>
        <x:v>1.1700000000000002</x:v>
      </x:c>
      <x:c r="E7" s="17" t="n">
        <x:f>'Пуск'!J7</x:f>
        <x:v>0.40361111111111114</x:v>
      </x:c>
      <x:c r="F7" s="17" t="n">
        <x:f>SUMIFS('Нагрузки'!$E$6:$E$37,'Нагрузки'!$A$6:$A$37,"SYS3V3",'Нагрузки'!$B$6:$B$37,"Control")+0</x:f>
        <x:v>1.1440000000000001</x:v>
      </x:c>
      <x:c r="G7" s="2" t="n">
        <x:v>3</x:v>
      </x:c>
      <x:c r="H7" s="17" t="str">
        <x:v>Требуется PCB</x:v>
      </x:c>
      <x:c r="I7" s="13" t="str">
        <x:v>MPN выбраны; ветви и нагрев ещё проверить</x:v>
      </x:c>
    </x:row>
    <x:row r="8" ht="38" customHeight="1">
      <x:c r="A8" s="9" t="str">
        <x:v>USB5</x:v>
      </x:c>
      <x:c r="B8" s="16" t="n">
        <x:f>'Шины'!D8</x:f>
        <x:v>5</x:v>
      </x:c>
      <x:c r="C8" s="16" t="n">
        <x:f>'Шины'!N8</x:f>
        <x:v>0.02</x:v>
      </x:c>
      <x:c r="D8" s="16" t="n">
        <x:f>'Шины'!O8</x:f>
        <x:v>0.065</x:v>
      </x:c>
      <x:c r="E8" s="16" t="n">
        <x:f>'Пуск'!J8</x:f>
        <x:v>0.13291999999999998</x:v>
      </x:c>
      <x:c r="F8" s="16" t="n">
        <x:f>SUMIFS('Нагрузки'!$E$6:$E$37,'Нагрузки'!$A$6:$A$37,"USB5",'Нагрузки'!$B$6:$B$37,"Control")+0</x:f>
        <x:v>0.065</x:v>
      </x:c>
      <x:c r="G8" s="9" t="n">
        <x:v>2</x:v>
      </x:c>
      <x:c r="H8" s="16" t="str">
        <x:v>Требуется PCB</x:v>
      </x:c>
      <x:c r="I8" s="12" t="str">
        <x:v>MPN выбраны; ветви и нагрев ещё проверить</x:v>
      </x:c>
    </x:row>
    <x:row r="9" ht="38" customHeight="1">
      <x:c r="A9" s="2" t="str">
        <x:v>CORE1V0</x:v>
      </x:c>
      <x:c r="B9" s="17" t="n">
        <x:f>'Шины'!D10</x:f>
        <x:v>1.0440769847634321</x:v>
      </x:c>
      <x:c r="C9" s="17" t="n">
        <x:f>'Шины'!N10</x:f>
        <x:v>2</x:v>
      </x:c>
      <x:c r="D9" s="17" t="n">
        <x:f>'Шины'!O10</x:f>
        <x:v>5.2</x:v>
      </x:c>
      <x:c r="E9" s="17" t="n">
        <x:f>'Пуск'!J10</x:f>
        <x:v>1.6414752044732812</x:v>
      </x:c>
      <x:c r="F9" s="17" t="n">
        <x:f>SUMIFS('Нагрузки'!$E$6:$E$37,'Нагрузки'!$A$6:$A$37,"CORE1V0",'Нагрузки'!$B$6:$B$37,"Control")+0</x:f>
        <x:v>5.2</x:v>
      </x:c>
      <x:c r="G9" s="2" t="n">
        <x:v>8</x:v>
      </x:c>
      <x:c r="H9" s="17" t="n">
        <x:f>'Контакты'!D64</x:f>
        <x:v>9.189230152365724</x:v>
      </x:c>
      <x:c r="I9" s="13" t="str">
        <x:v>Условная DC-оценка; нужны XPE и PCB</x:v>
      </x:c>
    </x:row>
    <x:row r="10" ht="38" customHeight="1">
      <x:c r="A10" s="9" t="str">
        <x:v>AUX1V8</x:v>
      </x:c>
      <x:c r="B10" s="16" t="n">
        <x:f>'Шины'!D11</x:f>
        <x:v>1.8</x:v>
      </x:c>
      <x:c r="C10" s="16" t="n">
        <x:f>'Шины'!N11</x:f>
        <x:v>0.15</x:v>
      </x:c>
      <x:c r="D10" s="16" t="n">
        <x:f>'Шины'!O11</x:f>
        <x:v>0.39</x:v>
      </x:c>
      <x:c r="E10" s="16" t="n">
        <x:f>'Пуск'!J11</x:f>
        <x:v>0.19771439999999998</x:v>
      </x:c>
      <x:c r="F10" s="16" t="n">
        <x:f>SUMIFS('Нагрузки'!$E$6:$E$37,'Нагрузки'!$A$6:$A$37,"AUX1V8",'Нагрузки'!$B$6:$B$37,"Control")+0</x:f>
        <x:v>0.39</x:v>
      </x:c>
      <x:c r="G10" s="9" t="n">
        <x:v>2</x:v>
      </x:c>
      <x:c r="H10" s="16" t="str">
        <x:v>Требуется PCB</x:v>
      </x:c>
      <x:c r="I10" s="12" t="str">
        <x:v>MPN выбраны; ветви и нагрев ещё проверить</x:v>
      </x:c>
    </x:row>
    <x:row r="11" ht="38" customHeight="1">
      <x:c r="A11" s="2" t="str">
        <x:v>IO3V3</x:v>
      </x:c>
      <x:c r="B11" s="17" t="n">
        <x:f>'Шины'!D13</x:f>
        <x:v>3.295</x:v>
      </x:c>
      <x:c r="C11" s="17" t="n">
        <x:f>'Шины'!N13</x:f>
        <x:v>0.64703</x:v>
      </x:c>
      <x:c r="D11" s="17" t="n">
        <x:f>'Шины'!O13</x:f>
        <x:v>1.5470300000000001</x:v>
      </x:c>
      <x:c r="E11" s="17" t="n">
        <x:f>'Пуск'!J13</x:f>
        <x:v>0.912907788</x:v>
      </x:c>
      <x:c r="F11" s="17" t="n">
        <x:f>SUMIFS('Нагрузки'!$E$6:$E$37,'Нагрузки'!$A$6:$A$37,"IO3V3",'Нагрузки'!$B$6:$B$37,"Control")+'Шины'!Q25</x:f>
        <x:v>1.5470300000000001</x:v>
      </x:c>
      <x:c r="G11" s="2" t="n">
        <x:v>12</x:v>
      </x:c>
      <x:c r="H11" s="17" t="str">
        <x:v>Требуется PCB</x:v>
      </x:c>
      <x:c r="I11" s="13" t="str">
        <x:v>MPN выбраны; ветви и нагрев ещё проверить</x:v>
      </x:c>
    </x:row>
    <x:row r="12" ht="38" customHeight="1">
      <x:c r="A12" s="9" t="str">
        <x:v>DDR1V35</x:v>
      </x:c>
      <x:c r="B12" s="16" t="n">
        <x:f>'Шины'!D14</x:f>
        <x:v>1.35</x:v>
      </x:c>
      <x:c r="C12" s="16" t="n">
        <x:f>'Шины'!N14</x:f>
        <x:v>0.555561122244489</x:v>
      </x:c>
      <x:c r="D12" s="16" t="n">
        <x:f>'Шины'!O14</x:f>
        <x:v>1.4444589178356715</x:v>
      </x:c>
      <x:c r="E12" s="16" t="n">
        <x:f>'Пуск'!J14</x:f>
        <x:v>0.23898608</x:v>
      </x:c>
      <x:c r="F12" s="16" t="n">
        <x:f>SUMIFS('Нагрузки'!$E$6:$E$37,'Нагрузки'!$A$6:$A$37,"DDR1V35",'Нагрузки'!$B$6:$B$37,"Control")+0</x:f>
        <x:v>1.04</x:v>
      </x:c>
      <x:c r="G12" s="9" t="n">
        <x:v>3</x:v>
      </x:c>
      <x:c r="H12" s="16" t="str">
        <x:v>Требуется PCB</x:v>
      </x:c>
      <x:c r="I12" s="12" t="str">
        <x:v>MPN выбраны; ветви и нагрев ещё проверить</x:v>
      </x:c>
    </x:row>
    <x:row r="13" ht="38" customHeight="1">
      <x:c r="A13" s="2" t="str">
        <x:v>PHY1V05</x:v>
      </x:c>
      <x:c r="B13" s="17" t="n">
        <x:f>'Шины'!D15</x:f>
        <x:v>1.0495</x:v>
      </x:c>
      <x:c r="C13" s="17" t="n">
        <x:f>'Шины'!N15</x:f>
        <x:v>0.108</x:v>
      </x:c>
      <x:c r="D13" s="17" t="n">
        <x:f>'Шины'!O15</x:f>
        <x:v>0.26</x:v>
      </x:c>
      <x:c r="E13" s="17" t="n">
        <x:f>'Пуск'!J15</x:f>
        <x:v>0.12213046799999999</x:v>
      </x:c>
      <x:c r="F13" s="17" t="n">
        <x:f>SUMIFS('Нагрузки'!$E$6:$E$37,'Нагрузки'!$A$6:$A$37,"PHY1V05",'Нагрузки'!$B$6:$B$37,"Control")+0</x:f>
        <x:v>0.26</x:v>
      </x:c>
      <x:c r="G13" s="2" t="n">
        <x:v>2</x:v>
      </x:c>
      <x:c r="H13" s="17" t="str">
        <x:v>Требуется PCB</x:v>
      </x:c>
      <x:c r="I13" s="13" t="str">
        <x:v>MPN выбраны; ветви и нагрев ещё проверить</x:v>
      </x:c>
    </x:row>
    <x:row r="14" ht="38" customHeight="1">
      <x:c r="A14" s="9" t="str">
        <x:v>VTT</x:v>
      </x:c>
      <x:c r="B14" s="16" t="n">
        <x:f>'Шины'!D16</x:f>
        <x:v>0.675</x:v>
      </x:c>
      <x:c r="C14" s="16" t="n">
        <x:f>'Шины'!N16</x:f>
        <x:v>0.15556112224448898</x:v>
      </x:c>
      <x:c r="D14" s="16" t="n">
        <x:f>'Шины'!O16</x:f>
        <x:v>0.40445891783567134</x:v>
      </x:c>
      <x:c r="E14" s="16" t="n">
        <x:f>'Пуск'!J16</x:f>
        <x:v>0.02486</x:v>
      </x:c>
      <x:c r="F14" s="16" t="n">
        <x:f>SUMIFS('Нагрузки'!$E$6:$E$37,'Нагрузки'!$A$6:$A$37,"VTT",'Нагрузки'!$B$6:$B$37,"Control")+0</x:f>
        <x:v>0.40445891783567134</x:v>
      </x:c>
      <x:c r="G14" s="9" t="n">
        <x:v>2</x:v>
      </x:c>
      <x:c r="H14" s="16" t="str">
        <x:v>Требуется PCB</x:v>
      </x:c>
      <x:c r="I14" s="12" t="str">
        <x:v>Проверить source/sink, tracking и возврат</x:v>
      </x:c>
    </x:row>
    <x:row r="15" ht="38" customHeight="1">
      <x:c r="A15" s="2" t="str">
        <x:v>DDR_VREF</x:v>
      </x:c>
      <x:c r="B15" s="17" t="n">
        <x:f>'Шины'!D17</x:f>
        <x:v>0.675</x:v>
      </x:c>
      <x:c r="C15" s="17" t="n">
        <x:f>'Шины'!N17</x:f>
        <x:v>0.0001</x:v>
      </x:c>
      <x:c r="D15" s="17" t="n">
        <x:f>'Шины'!O17</x:f>
        <x:v>0.0013000000000000002</x:v>
      </x:c>
      <x:c r="E15" s="17" t="n">
        <x:f>'Пуск'!J17</x:f>
        <x:v>0.000181</x:v>
      </x:c>
      <x:c r="F15" s="17" t="n">
        <x:f>SUMIFS('Нагрузки'!$E$6:$E$37,'Нагрузки'!$A$6:$A$37,"DDR_VREF",'Нагрузки'!$B$6:$B$37,"Control")+0</x:f>
        <x:v>0.0013000000000000002</x:v>
      </x:c>
      <x:c r="G15" s="2" t="n">
        <x:v>1</x:v>
      </x:c>
      <x:c r="H15" s="17" t="str">
        <x:v>Требуется PCB</x:v>
      </x:c>
      <x:c r="I15" s="13" t="str">
        <x:v>Проверить source/sink, tracking и возврат</x:v>
      </x:c>
    </x:row>
    <x:row r="16" ht="38" customHeight="1">
      <x:c r="A16" s="9" t="str">
        <x:v>ANA5</x:v>
      </x:c>
      <x:c r="B16" s="16" t="n">
        <x:f>'Шины'!D19</x:f>
        <x:v>5</x:v>
      </x:c>
      <x:c r="C16" s="16" t="n">
        <x:f>'Шины'!N19</x:f>
        <x:v>0.10543</x:v>
      </x:c>
      <x:c r="D16" s="16" t="n">
        <x:f>'Шины'!O19</x:f>
        <x:v>0.26703</x:v>
      </x:c>
      <x:c r="E16" s="16" t="n">
        <x:f>'Пуск'!J19</x:f>
        <x:v>0.13775073846153846</x:v>
      </x:c>
      <x:c r="F16" s="16" t="n">
        <x:f>SUMIFS('Нагрузки'!$E$6:$E$37,'Нагрузки'!$A$6:$A$37,"ANA5",'Нагрузки'!$B$6:$B$37,"Control")+0</x:f>
        <x:v>0.195</x:v>
      </x:c>
      <x:c r="G16" s="9" t="n">
        <x:v>2</x:v>
      </x:c>
      <x:c r="H16" s="16" t="str">
        <x:v>Требуется PCB</x:v>
      </x:c>
      <x:c r="I16" s="12" t="str">
        <x:v>MPN выбраны; ветви и нагрев ещё проверить</x:v>
      </x:c>
    </x:row>
    <x:row r="17" ht="38" customHeight="1">
      <x:c r="A17" s="2" t="str">
        <x:v>ANA3V3</x:v>
      </x:c>
      <x:c r="B17" s="17" t="n">
        <x:f>'Шины'!D20</x:f>
        <x:v>3.295</x:v>
      </x:c>
      <x:c r="C17" s="17" t="n">
        <x:f>'Шины'!N20</x:f>
        <x:v>0.02103</x:v>
      </x:c>
      <x:c r="D17" s="17" t="n">
        <x:f>'Шины'!O20</x:f>
        <x:v>0.06763000000000001</x:v>
      </x:c>
      <x:c r="E17" s="17" t="n">
        <x:f>'Пуск'!J20</x:f>
        <x:v>0.02610458461538461</x:v>
      </x:c>
      <x:c r="F17" s="17" t="n">
        <x:f>SUMIFS('Нагрузки'!$E$6:$E$37,'Нагрузки'!$A$6:$A$37,"ANA3V3",'Нагрузки'!$B$6:$B$37,"Control")+'Шины'!Q26</x:f>
        <x:v>0.06503</x:v>
      </x:c>
      <x:c r="G17" s="2" t="n">
        <x:v>1</x:v>
      </x:c>
      <x:c r="H17" s="17" t="str">
        <x:v>Требуется PCB</x:v>
      </x:c>
      <x:c r="I17" s="13" t="str">
        <x:v>MPN выбраны; ветви и нагрев ещё проверить</x:v>
      </x:c>
    </x:row>
    <x:row r="18" ht="38" customHeight="1">
      <x:c r="A18" s="9" t="str">
        <x:v>P15</x:v>
      </x:c>
      <x:c r="B18" s="16" t="n">
        <x:f>'Шины'!D21</x:f>
        <x:v>14.990045248868777</x:v>
      </x:c>
      <x:c r="C18" s="16" t="n">
        <x:f>'Шины'!N21</x:f>
        <x:v>0.1281</x:v>
      </x:c>
      <x:c r="D18" s="16" t="n">
        <x:f>'Шины'!O21</x:f>
        <x:v>0.47850000000000004</x:v>
      </x:c>
      <x:c r="E18" s="16" t="n">
        <x:f>'Пуск'!J21</x:f>
        <x:v>0.5894901972850679</x:v>
      </x:c>
      <x:c r="F18" s="16" t="n">
        <x:f>SUMIFS('Нагрузки'!$E$6:$E$37,'Нагрузки'!$A$6:$A$37,"P15",'Нагрузки'!$B$6:$B$37,"Control")+'Шины'!Q27</x:f>
        <x:v>0.4005</x:v>
      </x:c>
      <x:c r="G18" s="9" t="n">
        <x:v>3</x:v>
      </x:c>
      <x:c r="H18" s="16" t="str">
        <x:v>Требуется PCB</x:v>
      </x:c>
      <x:c r="I18" s="12" t="str">
        <x:v>MPN выбраны; ветви и нагрев ещё проверить</x:v>
      </x:c>
    </x:row>
    <x:row r="19" ht="38" customHeight="1">
      <x:c r="A19" s="2" t="str">
        <x:v>N15</x:v>
      </x:c>
      <x:c r="B19" s="17" t="n">
        <x:f>'Шины'!D22</x:f>
        <x:v>-15</x:v>
      </x:c>
      <x:c r="C19" s="17" t="n">
        <x:f>'Шины'!N22</x:f>
        <x:v>0.125</x:v>
      </x:c>
      <x:c r="D19" s="17" t="n">
        <x:f>'Шины'!O22</x:f>
        <x:v>0.468</x:v>
      </x:c>
      <x:c r="E19" s="17" t="n">
        <x:f>'Пуск'!J22</x:f>
        <x:v>0.61788</x:v>
      </x:c>
      <x:c r="F19" s="17" t="n">
        <x:f>SUMIFS('Нагрузки'!$E$6:$E$37,'Нагрузки'!$A$6:$A$37,"N15",'Нагрузки'!$B$6:$B$37,"Control")+0</x:f>
        <x:v>0.39</x:v>
      </x:c>
      <x:c r="G19" s="2" t="n">
        <x:v>3</x:v>
      </x:c>
      <x:c r="H19" s="17" t="str">
        <x:v>Требуется PCB</x:v>
      </x:c>
      <x:c r="I19" s="13" t="str">
        <x:v>Модуль 2 А; проверить пуск относительно OCP</x:v>
      </x:c>
    </x:row>
    <x:row r="20" ht="38" customHeight="1">
      <x:c r="A20" s="9" t="str">
        <x:v>PROG_P15</x:v>
      </x:c>
      <x:c r="B20" s="16" t="n">
        <x:f>'Шины'!D23</x:f>
        <x:v>14.990045248868777</x:v>
      </x:c>
      <x:c r="C20" s="16" t="n">
        <x:f>'Шины'!N23</x:f>
        <x:v>0.02</x:v>
      </x:c>
      <x:c r="D20" s="16" t="n">
        <x:f>'Шины'!O23</x:f>
        <x:v>0.078</x:v>
      </x:c>
      <x:c r="E20" s="16" t="n">
        <x:f>'Пуск'!J23</x:f>
        <x:v>0.06644583529411763</x:v>
      </x:c>
      <x:c r="F20" s="16" t="n">
        <x:f>SUMIFS('Нагрузки'!$E$6:$E$37,'Нагрузки'!$A$6:$A$37,"PROG_P15",'Нагрузки'!$B$6:$B$37,"Control")+0</x:f>
        <x:v>0.078</x:v>
      </x:c>
      <x:c r="G20" s="9" t="n">
        <x:v>1</x:v>
      </x:c>
      <x:c r="H20" s="16" t="str">
        <x:v>Требуется PCB</x:v>
      </x:c>
      <x:c r="I20" s="12" t="str">
        <x:v>MPN выбраны; ветви и нагрев ещё проверить</x:v>
      </x:c>
    </x:row>
    <x:row r="21" ht="38" customHeight="1">
      <x:c r="A21" s="2" t="str">
        <x:v>PROG_N15</x:v>
      </x:c>
      <x:c r="B21" s="17" t="n">
        <x:f>'Шины'!D24</x:f>
        <x:v>-15</x:v>
      </x:c>
      <x:c r="C21" s="17" t="n">
        <x:f>'Шины'!N24</x:f>
        <x:v>0.02</x:v>
      </x:c>
      <x:c r="D21" s="17" t="n">
        <x:f>'Шины'!O24</x:f>
        <x:v>0.078</x:v>
      </x:c>
      <x:c r="E21" s="17" t="n">
        <x:f>'Пуск'!J24</x:f>
        <x:v>0.06648</x:v>
      </x:c>
      <x:c r="F21" s="17" t="n">
        <x:f>SUMIFS('Нагрузки'!$E$6:$E$37,'Нагрузки'!$A$6:$A$37,"PROG_N15",'Нагрузки'!$B$6:$B$37,"Control")+0</x:f>
        <x:v>0.078</x:v>
      </x:c>
      <x:c r="G21" s="2" t="n">
        <x:v>1</x:v>
      </x:c>
      <x:c r="H21" s="17" t="str">
        <x:v>Требуется PCB</x:v>
      </x:c>
      <x:c r="I21" s="13" t="str">
        <x:v>MPN выбраны; ветви и нагрев ещё проверить</x:v>
      </x:c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</x:row>
    <x:row r="24">
      <x:c r="A24" s="2" t="str">
        <x:v>Вход 24 В: средний ток, А</x:v>
      </x:c>
      <x:c r="B24" s="2"/>
      <x:c r="C24" s="2"/>
      <x:c r="D24" s="17" t="n">
        <x:f>'Вход'!C29</x:f>
        <x:v>0.6421060300578763</x:v>
      </x:c>
      <x:c r="E24" s="2"/>
      <x:c r="F24" s="2"/>
      <x:c r="G24" s="2"/>
      <x:c r="H24" s="2"/>
      <x:c r="I24" s="2"/>
    </x:row>
    <x:row r="25">
      <x:c r="A25" s="2" t="str">
        <x:v>Вход 24 В: пиковый ток, А</x:v>
      </x:c>
      <x:c r="B25" s="2"/>
      <x:c r="C25" s="2"/>
      <x:c r="D25" s="17" t="n">
        <x:f>'Вход'!C30</x:f>
        <x:v>1.7993227645216456</x:v>
      </x:c>
      <x:c r="E25" s="2"/>
      <x:c r="F25" s="2"/>
      <x:c r="G25" s="2"/>
      <x:c r="H25" s="2"/>
      <x:c r="I25" s="2"/>
    </x:row>
    <x:row r="26">
      <x:c r="A26" s="2" t="str">
        <x:v>Вход 18 В: пиковый ток, А</x:v>
      </x:c>
      <x:c r="B26" s="2"/>
      <x:c r="C26" s="2"/>
      <x:c r="D26" s="17" t="n">
        <x:f>'Вход'!C31</x:f>
        <x:v>2.416441190124911</x:v>
      </x:c>
      <x:c r="E26" s="2"/>
      <x:c r="F26" s="2"/>
      <x:c r="G26" s="2"/>
      <x:c r="H26" s="2"/>
      <x:c r="I26" s="2"/>
    </x:row>
    <x:row r="27">
      <x:c r="A27" s="1" t="str">
        <x:v>Входная мощность расчётного пика, Вт</x:v>
      </x:c>
      <x:c r="B27" s="1"/>
      <x:c r="C27" s="1"/>
      <x:c r="D27" s="29" t="n">
        <x:f>'Вход'!C37</x:f>
        <x:v>43.18374634851949</x:v>
      </x:c>
      <x:c r="E27" s="1"/>
      <x:c r="F27" s="1"/>
      <x:c r="G27" s="1"/>
      <x:c r="H27" s="1"/>
      <x:c r="I27" s="1"/>
    </x:row>
    <x:row r="28">
      <x:c r="A28" s="1" t="str">
        <x:v>Оценка нижнего порога eFuse, А</x:v>
      </x:c>
      <x:c r="B28" s="1"/>
      <x:c r="C28" s="1"/>
      <x:c r="D28" s="29" t="n">
        <x:f>'Вход'!C35</x:f>
        <x:v>3.1450203843913807</x:v>
      </x:c>
      <x:c r="E28" s="1"/>
      <x:c r="F28" s="1"/>
      <x:c r="G28" s="1"/>
      <x:c r="H28" s="1"/>
      <x:c r="I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</x:row>
    <x:row r="31">
      <x:c r="A31" s="1" t="str">
        <x:v>Что требуется для закрытия задачи</x:v>
      </x:c>
      <x:c r="B31" s="1"/>
      <x:c r="C31" s="1"/>
      <x:c r="D31" s="1"/>
      <x:c r="E31" s="1"/>
      <x:c r="F31" s="1"/>
      <x:c r="G31" s="1"/>
      <x:c r="H31" s="1"/>
      <x:c r="I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</x:row>
    <x:row r="33" ht="30" customHeight="1">
      <x:c r="A33" s="30" t="str">
        <x:v>1. Уточнить XPE FPGA и предельную нагрузку матрицы. Запас 30% задан над предварительными токами.</x:v>
      </x:c>
      <x:c r="B33" s="30"/>
      <x:c r="C33" s="30"/>
      <x:c r="D33" s="30"/>
      <x:c r="E33" s="30"/>
      <x:c r="F33" s="30"/>
      <x:c r="G33" s="30"/>
      <x:c r="H33" s="30"/>
      <x:c r="I33" s="30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</x:row>
    <x:row r="35" ht="30" customHeight="1">
      <x:c r="A35" s="30" t="str">
        <x:v>2. Подтвердить запуск N15/PROG_N15 при минимальном входе, с учётом порога OCP платы.</x:v>
      </x:c>
      <x:c r="B35" s="30"/>
      <x:c r="C35" s="30"/>
      <x:c r="D35" s="30"/>
      <x:c r="E35" s="30"/>
      <x:c r="F35" s="30"/>
      <x:c r="G35" s="30"/>
      <x:c r="H35" s="30"/>
      <x:c r="I35" s="30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</x:row>
    <x:row r="37" ht="30" customHeight="1">
      <x:c r="A37" s="30" t="str">
        <x:v>3. Восемь пар разъёмов выбраны. Проверить токи местных ветвей, возврат GND, геометрию и температуру.</x:v>
      </x:c>
      <x:c r="B37" s="30"/>
      <x:c r="C37" s="30"/>
      <x:c r="D37" s="30"/>
      <x:c r="E37" s="30"/>
      <x:c r="F37" s="30"/>
      <x:c r="G37" s="30"/>
      <x:c r="H37" s="30"/>
      <x:c r="I37" s="30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</x:row>
    <x:row r="39" ht="30" customHeight="1">
      <x:c r="A39" s="30" t="str">
        <x:v>4. Подтвердить потери и окна напряжений на PCB, динамику sense CORE, VTT и DDR_VREF.</x:v>
      </x:c>
      <x:c r="B39" s="30"/>
      <x:c r="C39" s="30"/>
      <x:c r="D39" s="30"/>
      <x:c r="E39" s="30"/>
      <x:c r="F39" s="30"/>
      <x:c r="G39" s="30"/>
      <x:c r="H39" s="30"/>
      <x:c r="I39" s="30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</x:row>
    <x:row r="41" ht="30" customHeight="1">
      <x:c r="A41" s="30" t="str">
        <x:v>ERC обеих схем: 0 ошибок, 0 предупреждений, 0 исключений. Два прежних правила оформления отключены.</x:v>
      </x:c>
      <x:c r="B41" s="30"/>
      <x:c r="C41" s="30"/>
      <x:c r="D41" s="30"/>
      <x:c r="E41" s="30"/>
      <x:c r="F41" s="30"/>
      <x:c r="G41" s="30"/>
      <x:c r="H41" s="30"/>
      <x:c r="I41" s="30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</x:row>
    <x:row r="43" ht="30" customHeight="1">
      <x:c r="A43" s="30" t="str">
        <x:v>Формулы описывают условные режимы. Ни разводка PCB, ни испытания прототипа ещё не подтверждены.</x:v>
      </x:c>
      <x:c r="B43" s="30"/>
      <x:c r="C43" s="30"/>
      <x:c r="D43" s="30"/>
      <x:c r="E43" s="30"/>
      <x:c r="F43" s="30"/>
      <x:c r="G43" s="30"/>
      <x:c r="H43" s="30"/>
      <x:c r="I43" s="30"/>
    </x:row>
  </x:sheetData>
  <x:mergeCells>
    <x:mergeCell ref="A24:C24"/>
    <x:mergeCell ref="A25:C25"/>
    <x:mergeCell ref="A26:C26"/>
    <x:mergeCell ref="A27:C27"/>
    <x:mergeCell ref="A28:C28"/>
    <x:mergeCell ref="A33:I33"/>
    <x:mergeCell ref="A35:I35"/>
    <x:mergeCell ref="A37:I37"/>
    <x:mergeCell ref="A39:I39"/>
    <x:mergeCell ref="A41:I41"/>
    <x:mergeCell ref="A43:I43"/>
  </x:mergeCells>
  <x:conditionalFormatting sqref="H6:H21">
    <x:cfRule type="cellIs" dxfId="3" priority="1" operator="less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637C9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30" hidden="0" customWidth="1"/>
    <x:col min="4" max="4" width="13" hidden="0" customWidth="1"/>
    <x:col min="5" max="5" width="18" hidden="0" customWidth="1"/>
    <x:col min="6" max="6" width="13" hidden="0" customWidth="1"/>
    <x:col min="7" max="7" width="13" hidden="0" customWidth="1"/>
    <x:col min="8" max="8" width="12" hidden="0" customWidth="1"/>
    <x:col min="9" max="9" width="15" hidden="0" customWidth="1"/>
    <x:col min="10" max="10" width="15" hidden="0" customWidth="1"/>
    <x:col min="11" max="11" width="15" hidden="0" customWidth="1"/>
    <x:col min="12" max="12" width="17" hidden="0" customWidth="1"/>
    <x:col min="13" max="13" width="17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21" hidden="0" customWidth="1"/>
    <x:col min="19" max="19" width="17" hidden="0" customWidth="1"/>
    <x:col min="20" max="20" width="13" hidden="0" customWidth="1"/>
    <x:col min="21" max="21" width="13" hidden="0" customWidth="1"/>
    <x:col min="22" max="22" width="65" hidden="0" customWidth="1"/>
    <x:col min="23" max="23" width="65" hidden="0" customWidth="1"/>
    <x:col min="24" max="24" width="18" hidden="0" customWidth="1"/>
    <x:col min="25" max="25" width="2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</x:row>
    <x:row r="2">
      <x:c r="A2" s="3" t="str">
        <x:v>Источники и баланс токов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</x:row>
    <x:row r="3">
      <x:c r="A3" s="4" t="str">
        <x:v>Пик нагрузок включает запас. CORE Vraw учитывает положительный sense при расчётном пике. Ток ИС не равен пределу платы.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</x:row>
    <x:row r="5" ht="40" customHeight="1">
      <x:c r="A5" s="8" t="str">
        <x:v>Шина</x:v>
      </x:c>
      <x:c r="B5" s="8" t="str">
        <x:v>Откуда</x:v>
      </x:c>
      <x:c r="C5" s="8" t="str">
        <x:v>Источник</x:v>
      </x:c>
      <x:c r="D5" s="8" t="str">
        <x:v>Vraw в модели, В</x:v>
      </x:c>
      <x:c r="E5" s="8" t="str">
        <x:v>Ток ИС / оценка, А</x:v>
      </x:c>
      <x:c r="F5" s="8" t="str">
        <x:v>Шунт, Ом</x:v>
      </x:c>
      <x:c r="G5" s="8" t="str">
        <x:v>Тип</x:v>
      </x:c>
      <x:c r="H5" s="8" t="str">
        <x:v>КПД</x:v>
      </x:c>
      <x:c r="I5" s="8" t="str">
        <x:v>Iq входа, А</x:v>
      </x:c>
      <x:c r="J5" s="8" t="str">
        <x:v>Прямой ср., А</x:v>
      </x:c>
      <x:c r="K5" s="8" t="str">
        <x:v>Прямой пик, А</x:v>
      </x:c>
      <x:c r="L5" s="8" t="str">
        <x:v>Дочерние ср., А</x:v>
      </x:c>
      <x:c r="M5" s="8" t="str">
        <x:v>Дочерние пик, А</x:v>
      </x:c>
      <x:c r="N5" s="8" t="str">
        <x:v>Всего ср., А</x:v>
      </x:c>
      <x:c r="O5" s="8" t="str">
        <x:v>Всего пик, А</x:v>
      </x:c>
      <x:c r="P5" s="8" t="str">
        <x:v>Вход ср., А</x:v>
      </x:c>
      <x:c r="Q5" s="8" t="str">
        <x:v>Вход пик, А</x:v>
      </x:c>
      <x:c r="R5" s="8" t="str">
        <x:v>Мощность выхода пик, Вт</x:v>
      </x:c>
      <x:c r="S5" s="8" t="str">
        <x:v>Запас по току, А</x:v>
      </x:c>
      <x:c r="T5" s="8" t="str">
        <x:v>Vmin |В|</x:v>
      </x:c>
      <x:c r="U5" s="8" t="str">
        <x:v>Vmax |В|</x:v>
      </x:c>
      <x:c r="V5" s="8" t="str">
        <x:v>Основание окна / ограничения</x:v>
      </x:c>
      <x:c r="W5" s="8" t="str">
        <x:v>Источник документа</x:v>
      </x:c>
      <x:c r="X5" s="8" t="str">
        <x:v>Плата источника</x:v>
      </x:c>
      <x:c r="Y5" s="28" t="str">
        <x:v>Потери источника пик, Вт</x:v>
      </x:c>
    </x:row>
    <x:row r="6" ht="47" customHeight="1">
      <x:c r="A6" s="9" t="str">
        <x:v>AON</x:v>
      </x:c>
      <x:c r="B6" s="9" t="str">
        <x:v>BUS24</x:v>
      </x:c>
      <x:c r="C6" s="9" t="str">
        <x:v>U501 LMR51610</x:v>
      </x:c>
      <x:c r="D6" s="16" t="n">
        <x:v>3.28</x:v>
      </x:c>
      <x:c r="E6" s="16" t="n">
        <x:v>1</x:v>
      </x:c>
      <x:c r="F6" s="16" t="n">
        <x:v>0.1</x:v>
      </x:c>
      <x:c r="G6" s="16" t="str">
        <x:v>buck</x:v>
      </x:c>
      <x:c r="H6" s="15" t="n">
        <x:v>0.85</x:v>
      </x:c>
      <x:c r="I6" s="25" t="n">
        <x:v>0.000025</x:v>
      </x:c>
      <x:c r="J6" s="16" t="n">
        <x:f>SUMIFS('Нагрузки'!$D$6:$D$37,'Нагрузки'!$A$6:$A$37,A6)</x:f>
        <x:v>0.122</x:v>
      </x:c>
      <x:c r="K6" s="16" t="n">
        <x:f>SUMIFS('Нагрузки'!$E$6:$E$37,'Нагрузки'!$A$6:$A$37,A6)</x:f>
        <x:v>0.2665</x:v>
      </x:c>
      <x:c r="L6" s="16" t="n">
        <x:f>P17</x:f>
        <x:v>0.0001</x:v>
      </x:c>
      <x:c r="M6" s="16" t="n">
        <x:f>Q17</x:f>
        <x:v>0.0013000000000000002</x:v>
      </x:c>
      <x:c r="N6" s="16" t="n">
        <x:f>J6+L6</x:f>
        <x:v>0.1221</x:v>
      </x:c>
      <x:c r="O6" s="16" t="n">
        <x:f>K6+M6</x:f>
        <x:v>0.26780000000000004</x:v>
      </x:c>
      <x:c r="P6" s="16" t="n">
        <x:f>ABS(D6)*N6/('Вход'!$C$6*H6)+I6</x:f>
        <x:v>0.019656764705882353</x:v>
      </x:c>
      <x:c r="Q6" s="16" t="n">
        <x:f>ABS(D6)*O6/('Вход'!$C$6*H6)+I6</x:f>
        <x:v>0.04308303921568628</x:v>
      </x:c>
      <x:c r="R6" s="16" t="n">
        <x:f>ABS(D6)*O6</x:f>
        <x:v>0.878384</x:v>
      </x:c>
      <x:c r="S6" s="16" t="n">
        <x:f>E6-O6</x:f>
        <x:v>0.7322</x:v>
      </x:c>
      <x:c r="T6" s="16" t="n">
        <x:v>3.15</x:v>
      </x:c>
      <x:c r="U6" s="16" t="n">
        <x:v>3.45</x:v>
      </x:c>
      <x:c r="V6" s="12" t="str">
        <x:v>D11: проектное окно ±5% от 3,3; проверить supervisor</x:v>
      </x:c>
      <x:c r="W6" s="12" t="str">
        <x:v>https://www.ti.com/product/LMR51610</x:v>
      </x:c>
      <x:c r="X6" s="12" t="str">
        <x:v>Power</x:v>
      </x:c>
      <x:c r="Y6" s="23" t="n">
        <x:f>'Вход'!$C$6*Q6-R6</x:f>
        <x:v>0.1556089411764705</x:v>
      </x:c>
    </x:row>
    <x:row r="7" ht="47" customHeight="1">
      <x:c r="A7" s="2" t="str">
        <x:v>SYS3V3</x:v>
      </x:c>
      <x:c r="B7" s="2" t="str">
        <x:v>BUS24</x:v>
      </x:c>
      <x:c r="C7" s="2" t="str">
        <x:v>U701 LM76005</x:v>
      </x:c>
      <x:c r="D7" s="17" t="n">
        <x:v>3.314814814814815</x:v>
      </x:c>
      <x:c r="E7" s="17" t="n">
        <x:v>5</x:v>
      </x:c>
      <x:c r="F7" s="17" t="n">
        <x:v>0.01</x:v>
      </x:c>
      <x:c r="G7" s="17" t="str">
        <x:v>buck</x:v>
      </x:c>
      <x:c r="H7" s="15" t="n">
        <x:v>0.9</x:v>
      </x:c>
      <x:c r="I7" s="25" t="n">
        <x:v>0.000015</x:v>
      </x:c>
      <x:c r="J7" s="17" t="n">
        <x:f>SUMIFS('Нагрузки'!$D$6:$D$37,'Нагрузки'!$A$6:$A$37,A7)</x:f>
        <x:v>0.43500000000000005</x:v>
      </x:c>
      <x:c r="K7" s="17" t="n">
        <x:f>SUMIFS('Нагрузки'!$E$6:$E$37,'Нагрузки'!$A$6:$A$37,A7)</x:f>
        <x:v>1.1700000000000002</x:v>
      </x:c>
      <x:c r="L7" s="17" t="n">
        <x:f>0</x:f>
        <x:v>0</x:v>
      </x:c>
      <x:c r="M7" s="17" t="n">
        <x:f>0</x:f>
        <x:v>0</x:v>
      </x:c>
      <x:c r="N7" s="17" t="n">
        <x:f>J7+L7</x:f>
        <x:v>0.43500000000000005</x:v>
      </x:c>
      <x:c r="O7" s="17" t="n">
        <x:f>K7+M7</x:f>
        <x:v>1.1700000000000002</x:v>
      </x:c>
      <x:c r="P7" s="17" t="n">
        <x:f>ABS(D7)*N7/('Вход'!$C$6*H7)+I7</x:f>
        <x:v>0.06677168724279836</x:v>
      </x:c>
      <x:c r="Q7" s="17" t="n">
        <x:f>ABS(D7)*O7/('Вход'!$C$6*H7)+I7</x:f>
        <x:v>0.17956746913580246</x:v>
      </x:c>
      <x:c r="R7" s="17" t="n">
        <x:f>ABS(D7)*O7</x:f>
        <x:v>3.878333333333334</x:v>
      </x:c>
      <x:c r="S7" s="17" t="n">
        <x:f>E7-O7</x:f>
        <x:v>3.83</x:v>
      </x:c>
      <x:c r="T7" s="17" t="n">
        <x:v>3</x:v>
      </x:c>
      <x:c r="U7" s="17" t="n">
        <x:v>3.6</x:v>
      </x:c>
      <x:c r="V7" s="13" t="str">
        <x:v>D11: предварительное общее окно, подтвердить все потребители</x:v>
      </x:c>
      <x:c r="W7" s="13" t="str">
        <x:v>https://www.ti.com/product/LM76005</x:v>
      </x:c>
      <x:c r="X7" s="13" t="str">
        <x:v>Power</x:v>
      </x:c>
      <x:c r="Y7" s="23" t="n">
        <x:f>'Вход'!$C$6*Q7-R7</x:f>
        <x:v>0.4312859259259252</x:v>
      </x:c>
    </x:row>
    <x:row r="8" ht="47" customHeight="1">
      <x:c r="A8" s="9" t="str">
        <x:v>USB5</x:v>
      </x:c>
      <x:c r="B8" s="9" t="str">
        <x:v>BUS24</x:v>
      </x:c>
      <x:c r="C8" s="9" t="str">
        <x:v>U601 LMR51610</x:v>
      </x:c>
      <x:c r="D8" s="16" t="n">
        <x:v>5</x:v>
      </x:c>
      <x:c r="E8" s="16" t="n">
        <x:v>1</x:v>
      </x:c>
      <x:c r="F8" s="16" t="n">
        <x:v>0.05</x:v>
      </x:c>
      <x:c r="G8" s="16" t="str">
        <x:v>buck</x:v>
      </x:c>
      <x:c r="H8" s="15" t="n">
        <x:v>0.85</x:v>
      </x:c>
      <x:c r="I8" s="25" t="n">
        <x:v>0.000025</x:v>
      </x:c>
      <x:c r="J8" s="16" t="n">
        <x:f>SUMIFS('Нагрузки'!$D$6:$D$37,'Нагрузки'!$A$6:$A$37,A8)</x:f>
        <x:v>0.02</x:v>
      </x:c>
      <x:c r="K8" s="16" t="n">
        <x:f>SUMIFS('Нагрузки'!$E$6:$E$37,'Нагрузки'!$A$6:$A$37,A8)</x:f>
        <x:v>0.065</x:v>
      </x:c>
      <x:c r="L8" s="16" t="n">
        <x:f>0</x:f>
        <x:v>0</x:v>
      </x:c>
      <x:c r="M8" s="16" t="n">
        <x:f>0</x:f>
        <x:v>0</x:v>
      </x:c>
      <x:c r="N8" s="16" t="n">
        <x:f>J8+L8</x:f>
        <x:v>0.02</x:v>
      </x:c>
      <x:c r="O8" s="16" t="n">
        <x:f>K8+M8</x:f>
        <x:v>0.065</x:v>
      </x:c>
      <x:c r="P8" s="16" t="n">
        <x:f>ABS(D8)*N8/('Вход'!$C$6*H8)+I8</x:f>
        <x:v>0.004926960784313726</x:v>
      </x:c>
      <x:c r="Q8" s="16" t="n">
        <x:f>ABS(D8)*O8/('Вход'!$C$6*H8)+I8</x:f>
        <x:v>0.01595637254901961</x:v>
      </x:c>
      <x:c r="R8" s="16" t="n">
        <x:f>ABS(D8)*O8</x:f>
        <x:v>0.325</x:v>
      </x:c>
      <x:c r="S8" s="16" t="n">
        <x:f>E8-O8</x:f>
        <x:v>0.935</x:v>
      </x:c>
      <x:c r="T8" s="16" t="n">
        <x:v>4.75</x:v>
      </x:c>
      <x:c r="U8" s="16" t="n">
        <x:v>5.25</x:v>
      </x:c>
      <x:c r="V8" s="12" t="str">
        <x:v>D11: проектное окно</x:v>
      </x:c>
      <x:c r="W8" s="12" t="str">
        <x:v>https://www.ti.com/product/LMR51610</x:v>
      </x:c>
      <x:c r="X8" s="12" t="str">
        <x:v>Power</x:v>
      </x:c>
      <x:c r="Y8" s="23" t="n">
        <x:f>'Вход'!$C$6*Q8-R8</x:f>
        <x:v>0.05795294117647065</x:v>
      </x:c>
    </x:row>
    <x:row r="9" ht="47" customHeight="1">
      <x:c r="A9" s="2" t="str">
        <x:v>FPGA5V5</x:v>
      </x:c>
      <x:c r="B9" s="2" t="str">
        <x:v>BUS24</x:v>
      </x:c>
      <x:c r="C9" s="2" t="str">
        <x:v>U801 LM76005</x:v>
      </x:c>
      <x:c r="D9" s="17" t="n">
        <x:v>5.524886877828054</x:v>
      </x:c>
      <x:c r="E9" s="17" t="n">
        <x:v>5</x:v>
      </x:c>
      <x:c r="F9" s="17" t="n">
        <x:v>0.01</x:v>
      </x:c>
      <x:c r="G9" s="17" t="str">
        <x:v>buck</x:v>
      </x:c>
      <x:c r="H9" s="15" t="n">
        <x:v>0.9</x:v>
      </x:c>
      <x:c r="I9" s="25" t="n">
        <x:v>0.000015</x:v>
      </x:c>
      <x:c r="J9" s="17" t="n">
        <x:f>SUMIFS('Нагрузки'!$D$6:$D$37,'Нагрузки'!$A$6:$A$37,A9)</x:f>
        <x:v>0</x:v>
      </x:c>
      <x:c r="K9" s="17" t="n">
        <x:f>SUMIFS('Нагрузки'!$E$6:$E$37,'Нагрузки'!$A$6:$A$37,A9)</x:f>
        <x:v>0</x:v>
      </x:c>
      <x:c r="L9" s="17" t="n">
        <x:f>P10+P11+P12+P13+P14+P15</x:f>
        <x:v>1.092870012643193</x:v>
      </x:c>
      <x:c r="M9" s="17" t="n">
        <x:f>Q10+Q11+Q12+Q13+Q14+Q15</x:f>
        <x:v>2.746094448779118</x:v>
      </x:c>
      <x:c r="N9" s="17" t="n">
        <x:f>J9+L9</x:f>
        <x:v>1.092870012643193</x:v>
      </x:c>
      <x:c r="O9" s="17" t="n">
        <x:f>K9+M9</x:f>
        <x:v>2.746094448779118</x:v>
      </x:c>
      <x:c r="P9" s="17" t="n">
        <x:f>ABS(D9)*N9/('Вход'!$C$6*H9)+I9</x:f>
        <x:v>0.2795512588900072</x:v>
      </x:c>
      <x:c r="Q9" s="17" t="n">
        <x:f>ABS(D9)*O9/('Вход'!$C$6*H9)+I9</x:f>
        <x:v>0.7024159808026025</x:v>
      </x:c>
      <x:c r="R9" s="17" t="n">
        <x:f>ABS(D9)*O9</x:f>
        <x:v>15.171861185336214</x:v>
      </x:c>
      <x:c r="S9" s="17" t="n">
        <x:f>E9-O9</x:f>
        <x:v>2.253905551220882</x:v>
      </x:c>
      <x:c r="T9" s="17" t="n">
        <x:v>4.5</x:v>
      </x:c>
      <x:c r="U9" s="17" t="n">
        <x:v>6</x:v>
      </x:c>
      <x:c r="V9" s="13" t="str">
        <x:v>4,5 В — минимум TPS568215; верх 6 В — проектный</x:v>
      </x:c>
      <x:c r="W9" s="13" t="str">
        <x:v>https://www.ti.com/product/LM76005</x:v>
      </x:c>
      <x:c r="X9" s="13" t="str">
        <x:v>Power</x:v>
      </x:c>
      <x:c r="Y9" s="23" t="n">
        <x:f>'Вход'!$C$6*Q9-R9</x:f>
        <x:v>1.6861223539262458</x:v>
      </x:c>
    </x:row>
    <x:row r="10" ht="47" customHeight="1">
      <x:c r="A10" s="9" t="str">
        <x:v>CORE1V0</x:v>
      </x:c>
      <x:c r="B10" s="9" t="str">
        <x:v>FPGA5V5</x:v>
      </x:c>
      <x:c r="C10" s="9" t="str">
        <x:v>U1201 TPS568215</x:v>
      </x:c>
      <x:c r="D10" s="16" t="n">
        <x:f>'Контакты'!D61</x:f>
        <x:v>1.0440769847634321</x:v>
      </x:c>
      <x:c r="E10" s="16" t="n">
        <x:v>8</x:v>
      </x:c>
      <x:c r="F10" s="16" t="n">
        <x:v>0.002</x:v>
      </x:c>
      <x:c r="G10" s="16" t="str">
        <x:v>buck</x:v>
      </x:c>
      <x:c r="H10" s="15" t="n">
        <x:v>0.88</x:v>
      </x:c>
      <x:c r="I10" s="25" t="n">
        <x:v>0.0006</x:v>
      </x:c>
      <x:c r="J10" s="16" t="n">
        <x:f>SUMIFS('Нагрузки'!$D$6:$D$37,'Нагрузки'!$A$6:$A$37,A10)</x:f>
        <x:v>2</x:v>
      </x:c>
      <x:c r="K10" s="16" t="n">
        <x:f>SUMIFS('Нагрузки'!$E$6:$E$37,'Нагрузки'!$A$6:$A$37,A10)</x:f>
        <x:v>5.2</x:v>
      </x:c>
      <x:c r="L10" s="16" t="n">
        <x:f>0</x:f>
        <x:v>0</x:v>
      </x:c>
      <x:c r="M10" s="16" t="n">
        <x:f>0</x:f>
        <x:v>0</x:v>
      </x:c>
      <x:c r="N10" s="16" t="n">
        <x:f>J10+L10</x:f>
        <x:v>2</x:v>
      </x:c>
      <x:c r="O10" s="16" t="n">
        <x:f>K10+M10</x:f>
        <x:v>5.2</x:v>
      </x:c>
      <x:c r="P10" s="16" t="n">
        <x:f>ABS(D10)*N10/(ABS(D9)*H10)+I10</x:f>
        <x:v>0.43009336168699</x:v>
      </x:c>
      <x:c r="Q10" s="16" t="n">
        <x:f>ABS(D10)*O10/(ABS(D9)*H10)+I10</x:f>
        <x:v>1.1172827403861738</x:v>
      </x:c>
      <x:c r="R10" s="16" t="n">
        <x:f>ABS(D10)*O10</x:f>
        <x:v>5.429200320769847</x:v>
      </x:c>
      <x:c r="S10" s="16" t="n">
        <x:f>E10-O10</x:f>
        <x:v>2.8</x:v>
      </x:c>
      <x:c r="T10" s="16" t="n">
        <x:v>0.95</x:v>
      </x:c>
      <x:c r="U10" s="16" t="n">
        <x:v>1.05</x:v>
      </x:c>
      <x:c r="V10" s="12" t="str">
        <x:v>AMD DS181, -2, VCCINT/VCCBRAM</x:v>
      </x:c>
      <x:c r="W10" s="12" t="str">
        <x:v>https://www.ti.com/product/TPS568215</x:v>
      </x:c>
      <x:c r="X10" s="12" t="str">
        <x:v>Power</x:v>
      </x:c>
      <x:c r="Y10" s="23" t="n">
        <x:f>ABS(D9)*Q10-R10</x:f>
        <x:v>0.7436604304134935</x:v>
      </x:c>
    </x:row>
    <x:row r="11" ht="47" customHeight="1">
      <x:c r="A11" s="2" t="str">
        <x:v>AUX1V8</x:v>
      </x:c>
      <x:c r="B11" s="2" t="str">
        <x:v>FPGA5V5</x:v>
      </x:c>
      <x:c r="C11" s="2" t="str">
        <x:v>U1301 TPS62130A</x:v>
      </x:c>
      <x:c r="D11" s="17" t="n">
        <x:v>1.8</x:v>
      </x:c>
      <x:c r="E11" s="17" t="n">
        <x:v>3</x:v>
      </x:c>
      <x:c r="F11" s="17" t="n">
        <x:v>0.02</x:v>
      </x:c>
      <x:c r="G11" s="17" t="str">
        <x:v>buck</x:v>
      </x:c>
      <x:c r="H11" s="15" t="n">
        <x:v>0.88</x:v>
      </x:c>
      <x:c r="I11" s="25" t="n">
        <x:v>0.000017</x:v>
      </x:c>
      <x:c r="J11" s="17" t="n">
        <x:f>SUMIFS('Нагрузки'!$D$6:$D$37,'Нагрузки'!$A$6:$A$37,A11)</x:f>
        <x:v>0.15</x:v>
      </x:c>
      <x:c r="K11" s="17" t="n">
        <x:f>SUMIFS('Нагрузки'!$E$6:$E$37,'Нагрузки'!$A$6:$A$37,A11)</x:f>
        <x:v>0.39</x:v>
      </x:c>
      <x:c r="L11" s="17" t="n">
        <x:f>0</x:f>
        <x:v>0</x:v>
      </x:c>
      <x:c r="M11" s="17" t="n">
        <x:f>0</x:f>
        <x:v>0</x:v>
      </x:c>
      <x:c r="N11" s="17" t="n">
        <x:f>J11+L11</x:f>
        <x:v>0.15</x:v>
      </x:c>
      <x:c r="O11" s="17" t="n">
        <x:f>K11+M11</x:f>
        <x:v>0.39</x:v>
      </x:c>
      <x:c r="P11" s="17" t="n">
        <x:f>ABS(D11)*N11/(ABS(D9)*H11)+I11</x:f>
        <x:v>0.05555083962474872</x:v>
      </x:c>
      <x:c r="Q11" s="17" t="n">
        <x:f>ABS(D11)*O11/(ABS(D9)*H11)+I11</x:f>
        <x:v>0.14440498302434668</x:v>
      </x:c>
      <x:c r="R11" s="17" t="n">
        <x:f>ABS(D11)*O11</x:f>
        <x:v>0.7020000000000001</x:v>
      </x:c>
      <x:c r="S11" s="17" t="n">
        <x:f>E11-O11</x:f>
        <x:v>2.61</x:v>
      </x:c>
      <x:c r="T11" s="17" t="n">
        <x:v>1.71</x:v>
      </x:c>
      <x:c r="U11" s="17" t="n">
        <x:v>1.89</x:v>
      </x:c>
      <x:c r="V11" s="13" t="str">
        <x:v>AMD DS181 VCCAUX/VCCADC</x:v>
      </x:c>
      <x:c r="W11" s="13" t="str">
        <x:v>https://www.ti.com/product/TPS62130A</x:v>
      </x:c>
      <x:c r="X11" s="13" t="str">
        <x:v>Power</x:v>
      </x:c>
      <x:c r="Y11" s="23" t="n">
        <x:f>ABS(D9)*Q11-R11</x:f>
        <x:v>0.09582119580419579</x:v>
      </x:c>
    </x:row>
    <x:row r="12" ht="47" customHeight="1">
      <x:c r="A12" s="9" t="str">
        <x:v>AUX2V5</x:v>
      </x:c>
      <x:c r="B12" s="9" t="str">
        <x:v>FPGA5V5</x:v>
      </x:c>
      <x:c r="C12" s="9" t="str">
        <x:v>U1401 TPS62130A</x:v>
      </x:c>
      <x:c r="D12" s="16" t="n">
        <x:v>2.5</x:v>
      </x:c>
      <x:c r="E12" s="16" t="n">
        <x:v>3</x:v>
      </x:c>
      <x:c r="F12" s="16" t="n">
        <x:v>0.02</x:v>
      </x:c>
      <x:c r="G12" s="16" t="str">
        <x:v>buck</x:v>
      </x:c>
      <x:c r="H12" s="15" t="n">
        <x:v>0.88</x:v>
      </x:c>
      <x:c r="I12" s="25" t="n">
        <x:v>0.000017</x:v>
      </x:c>
      <x:c r="J12" s="16" t="n">
        <x:f>SUMIFS('Нагрузки'!$D$6:$D$37,'Нагрузки'!$A$6:$A$37,A12)</x:f>
        <x:v>0</x:v>
      </x:c>
      <x:c r="K12" s="16" t="n">
        <x:f>SUMIFS('Нагрузки'!$E$6:$E$37,'Нагрузки'!$A$6:$A$37,A12)</x:f>
        <x:v>0</x:v>
      </x:c>
      <x:c r="L12" s="16" t="n">
        <x:f>0</x:f>
        <x:v>0</x:v>
      </x:c>
      <x:c r="M12" s="16" t="n">
        <x:f>0</x:f>
        <x:v>0</x:v>
      </x:c>
      <x:c r="N12" s="16" t="n">
        <x:f>J12+L12</x:f>
        <x:v>0</x:v>
      </x:c>
      <x:c r="O12" s="16" t="n">
        <x:f>K12+M12</x:f>
        <x:v>0</x:v>
      </x:c>
      <x:c r="P12" s="16" t="n">
        <x:f>ABS(D12)*N12/(ABS(D9)*H12)+I12</x:f>
        <x:v>0.000017</x:v>
      </x:c>
      <x:c r="Q12" s="16" t="n">
        <x:f>ABS(D12)*O12/(ABS(D9)*H12)+I12</x:f>
        <x:v>0.000017</x:v>
      </x:c>
      <x:c r="R12" s="16" t="n">
        <x:f>ABS(D12)*O12</x:f>
        <x:v>0</x:v>
      </x:c>
      <x:c r="S12" s="16" t="n">
        <x:f>E12-O12</x:f>
        <x:v>3</x:v>
      </x:c>
      <x:c r="T12" s="16" t="n">
        <x:v>2.375</x:v>
      </x:c>
      <x:c r="U12" s="16" t="n">
        <x:v>2.625</x:v>
      </x:c>
      <x:c r="V12" s="12" t="str">
        <x:v>D11: окно для резерва; потребитель не назначен</x:v>
      </x:c>
      <x:c r="W12" s="12" t="str">
        <x:v>https://www.ti.com/product/TPS62130A</x:v>
      </x:c>
      <x:c r="X12" s="12" t="str">
        <x:v>Power</x:v>
      </x:c>
      <x:c r="Y12" s="23" t="n">
        <x:f>ABS(D9)*Q12-R12</x:f>
        <x:v>0.00009392307692307692</x:v>
      </x:c>
    </x:row>
    <x:row r="13" ht="47" customHeight="1">
      <x:c r="A13" s="2" t="str">
        <x:v>IO3V3</x:v>
      </x:c>
      <x:c r="B13" s="2" t="str">
        <x:v>FPGA5V5</x:v>
      </x:c>
      <x:c r="C13" s="2" t="str">
        <x:v>U1501 TPS62130A</x:v>
      </x:c>
      <x:c r="D13" s="17" t="n">
        <x:v>3.295</x:v>
      </x:c>
      <x:c r="E13" s="17" t="n">
        <x:v>3</x:v>
      </x:c>
      <x:c r="F13" s="17" t="n">
        <x:v>0.02</x:v>
      </x:c>
      <x:c r="G13" s="17" t="str">
        <x:v>buck</x:v>
      </x:c>
      <x:c r="H13" s="15" t="n">
        <x:v>0.9</x:v>
      </x:c>
      <x:c r="I13" s="25" t="n">
        <x:v>0.000017</x:v>
      </x:c>
      <x:c r="J13" s="17" t="n">
        <x:f>SUMIFS('Нагрузки'!$D$6:$D$37,'Нагрузки'!$A$6:$A$37,A13)</x:f>
        <x:v>0.51</x:v>
      </x:c>
      <x:c r="K13" s="17" t="n">
        <x:f>SUMIFS('Нагрузки'!$E$6:$E$37,'Нагрузки'!$A$6:$A$37,A13)</x:f>
        <x:v>1.2870000000000001</x:v>
      </x:c>
      <x:c r="L13" s="17" t="n">
        <x:f>P25</x:f>
        <x:v>0.13703</x:v>
      </x:c>
      <x:c r="M13" s="17" t="n">
        <x:f>Q25</x:f>
        <x:v>0.26003</x:v>
      </x:c>
      <x:c r="N13" s="17" t="n">
        <x:f>J13+L13</x:f>
        <x:v>0.64703</x:v>
      </x:c>
      <x:c r="O13" s="17" t="n">
        <x:f>K13+M13</x:f>
        <x:v>1.5470300000000001</x:v>
      </x:c>
      <x:c r="P13" s="17" t="n">
        <x:f>ABS(D13)*N13/(ABS(D9)*H13)+I13</x:f>
        <x:v>0.4287766786331786</x:v>
      </x:c>
      <x:c r="Q13" s="17" t="n">
        <x:f>ABS(D13)*O13/(ABS(D9)*H13)+I13</x:f>
        <x:v>1.02516898002548</x:v>
      </x:c>
      <x:c r="R13" s="17" t="n">
        <x:f>ABS(D13)*O13</x:f>
        <x:v>5.0974638500000005</x:v>
      </x:c>
      <x:c r="S13" s="17" t="n">
        <x:f>E13-O13</x:f>
        <x:v>1.4529699999999999</x:v>
      </x:c>
      <x:c r="T13" s="17" t="n">
        <x:v>3.15</x:v>
      </x:c>
      <x:c r="U13" s="17" t="n">
        <x:v>3.45</x:v>
      </x:c>
      <x:c r="V13" s="13" t="str">
        <x:v>TI DP83867 VDDIO 3,3 В; остальные потребители проверить</x:v>
      </x:c>
      <x:c r="W13" s="13" t="str">
        <x:v>https://www.ti.com/product/TPS62130A</x:v>
      </x:c>
      <x:c r="X13" s="13" t="str">
        <x:v>Power</x:v>
      </x:c>
      <x:c r="Y13" s="23" t="n">
        <x:f>ABS(D9)*Q13-R13</x:f>
        <x:v>0.5664787952991448</x:v>
      </x:c>
    </x:row>
    <x:row r="14" ht="47" customHeight="1">
      <x:c r="A14" s="9" t="str">
        <x:v>DDR1V35</x:v>
      </x:c>
      <x:c r="B14" s="9" t="str">
        <x:v>FPGA5V5</x:v>
      </x:c>
      <x:c r="C14" s="9" t="str">
        <x:v>U1601 TPS62130A</x:v>
      </x:c>
      <x:c r="D14" s="16" t="n">
        <x:v>1.35</x:v>
      </x:c>
      <x:c r="E14" s="16" t="n">
        <x:v>3</x:v>
      </x:c>
      <x:c r="F14" s="16" t="n">
        <x:v>0.01</x:v>
      </x:c>
      <x:c r="G14" s="16" t="str">
        <x:v>buck</x:v>
      </x:c>
      <x:c r="H14" s="15" t="n">
        <x:v>0.88</x:v>
      </x:c>
      <x:c r="I14" s="25" t="n">
        <x:v>0.000017</x:v>
      </x:c>
      <x:c r="J14" s="16" t="n">
        <x:f>SUMIFS('Нагрузки'!$D$6:$D$37,'Нагрузки'!$A$6:$A$37,A14)</x:f>
        <x:v>0.4</x:v>
      </x:c>
      <x:c r="K14" s="16" t="n">
        <x:f>SUMIFS('Нагрузки'!$E$6:$E$37,'Нагрузки'!$A$6:$A$37,A14)</x:f>
        <x:v>1.04</x:v>
      </x:c>
      <x:c r="L14" s="16" t="n">
        <x:f>P16</x:f>
        <x:v>0.15556112224448898</x:v>
      </x:c>
      <x:c r="M14" s="16" t="n">
        <x:f>Q16</x:f>
        <x:v>0.40445891783567134</x:v>
      </x:c>
      <x:c r="N14" s="16" t="n">
        <x:f>J14+L14</x:f>
        <x:v>0.555561122244489</x:v>
      </x:c>
      <x:c r="O14" s="16" t="n">
        <x:f>K14+M14</x:f>
        <x:v>1.4444589178356715</x:v>
      </x:c>
      <x:c r="P14" s="16" t="n">
        <x:f>ABS(D14)*N14/(ABS(D9)*H14)+I14</x:f>
        <x:v>0.15427921132235434</x:v>
      </x:c>
      <x:c r="Q14" s="16" t="n">
        <x:f>ABS(D14)*O14/(ABS(D9)*H14)+I14</x:f>
        <x:v>0.40109874943812135</x:v>
      </x:c>
      <x:c r="R14" s="16" t="n">
        <x:f>ABS(D14)*O14</x:f>
        <x:v>1.9500195390781567</x:v>
      </x:c>
      <x:c r="S14" s="16" t="n">
        <x:f>E14-O14</x:f>
        <x:v>1.5555410821643285</x:v>
      </x:c>
      <x:c r="T14" s="16" t="n">
        <x:v>1.2825</x:v>
      </x:c>
      <x:c r="U14" s="16" t="n">
        <x:v>1.4175</x:v>
      </x:c>
      <x:c r="V14" s="12" t="str">
        <x:v>AMD DS181 ±5%; полную проверку Micron дополнить</x:v>
      </x:c>
      <x:c r="W14" s="12" t="str">
        <x:v>https://www.ti.com/product/TPS62130A</x:v>
      </x:c>
      <x:c r="X14" s="12" t="str">
        <x:v>Power</x:v>
      </x:c>
      <x:c r="Y14" s="23" t="n">
        <x:f>ABS(D9)*Q14-R14</x:f>
        <x:v>0.2660056784057627</x:v>
      </x:c>
    </x:row>
    <x:row r="15" ht="47" customHeight="1">
      <x:c r="A15" s="2" t="str">
        <x:v>PHY1V05</x:v>
      </x:c>
      <x:c r="B15" s="2" t="str">
        <x:v>FPGA5V5</x:v>
      </x:c>
      <x:c r="C15" s="2" t="str">
        <x:v>U1701 TPS62130A</x:v>
      </x:c>
      <x:c r="D15" s="17" t="n">
        <x:v>1.0495</x:v>
      </x:c>
      <x:c r="E15" s="17" t="n">
        <x:v>3</x:v>
      </x:c>
      <x:c r="F15" s="17" t="n">
        <x:v>0.02</x:v>
      </x:c>
      <x:c r="G15" s="17" t="str">
        <x:v>buck</x:v>
      </x:c>
      <x:c r="H15" s="15" t="n">
        <x:v>0.85</x:v>
      </x:c>
      <x:c r="I15" s="25" t="n">
        <x:v>0.000017</x:v>
      </x:c>
      <x:c r="J15" s="17" t="n">
        <x:f>SUMIFS('Нагрузки'!$D$6:$D$37,'Нагрузки'!$A$6:$A$37,A15)</x:f>
        <x:v>0.108</x:v>
      </x:c>
      <x:c r="K15" s="17" t="n">
        <x:f>SUMIFS('Нагрузки'!$E$6:$E$37,'Нагрузки'!$A$6:$A$37,A15)</x:f>
        <x:v>0.26</x:v>
      </x:c>
      <x:c r="L15" s="17" t="n">
        <x:f>0</x:f>
        <x:v>0</x:v>
      </x:c>
      <x:c r="M15" s="17" t="n">
        <x:f>0</x:f>
        <x:v>0</x:v>
      </x:c>
      <x:c r="N15" s="17" t="n">
        <x:f>J15+L15</x:f>
        <x:v>0.108</x:v>
      </x:c>
      <x:c r="O15" s="17" t="n">
        <x:f>K15+M15</x:f>
        <x:v>0.26</x:v>
      </x:c>
      <x:c r="P15" s="17" t="n">
        <x:f>ABS(D15)*N15/(ABS(D9)*H15)+I15</x:f>
        <x:v>0.024152921375921378</x:v>
      </x:c>
      <x:c r="Q15" s="17" t="n">
        <x:f>ABS(D15)*O15/(ABS(D9)*H15)+I15</x:f>
        <x:v>0.05812199590499592</x:v>
      </x:c>
      <x:c r="R15" s="17" t="n">
        <x:f>ABS(D15)*O15</x:f>
        <x:v>0.27287000000000006</x:v>
      </x:c>
      <x:c r="S15" s="17" t="n">
        <x:f>E15-O15</x:f>
        <x:v>2.74</x:v>
      </x:c>
      <x:c r="T15" s="17" t="n">
        <x:v>0.95</x:v>
      </x:c>
      <x:c r="U15" s="17" t="n">
        <x:v>1.155</x:v>
      </x:c>
      <x:c r="V15" s="13" t="str">
        <x:v>TI DP83867IR RGZ, table 6.3</x:v>
      </x:c>
      <x:c r="W15" s="13" t="str">
        <x:v>https://www.ti.com/product/TPS62130A</x:v>
      </x:c>
      <x:c r="X15" s="13" t="str">
        <x:v>Power</x:v>
      </x:c>
      <x:c r="Y15" s="23" t="n">
        <x:f>ABS(D9)*Q15-R15</x:f>
        <x:v>0.048247452488687836</x:v>
      </x:c>
    </x:row>
    <x:row r="16" ht="47" customHeight="1">
      <x:c r="A16" s="9" t="str">
        <x:v>VTT</x:v>
      </x:c>
      <x:c r="B16" s="9" t="str">
        <x:v>DDR1V35</x:v>
      </x:c>
      <x:c r="C16" s="9" t="str">
        <x:v>U1801 TPS51200 VO</x:v>
      </x:c>
      <x:c r="D16" s="16" t="n">
        <x:v>0.675</x:v>
      </x:c>
      <x:c r="E16" s="16" t="n">
        <x:v>3</x:v>
      </x:c>
      <x:c r="F16" s="16" t="n">
        <x:v>0</x:v>
      </x:c>
      <x:c r="G16" s="16" t="str">
        <x:v>linear</x:v>
      </x:c>
      <x:c r="H16" s="15" t="n">
        <x:v>0.5</x:v>
      </x:c>
      <x:c r="I16" s="25" t="n">
        <x:v>0</x:v>
      </x:c>
      <x:c r="J16" s="16" t="n">
        <x:f>SUMIFS('Нагрузки'!$D$6:$D$37,'Нагрузки'!$A$6:$A$37,A16)</x:f>
        <x:v>0.15556112224448898</x:v>
      </x:c>
      <x:c r="K16" s="16" t="n">
        <x:f>SUMIFS('Нагрузки'!$E$6:$E$37,'Нагрузки'!$A$6:$A$37,A16)</x:f>
        <x:v>0.40445891783567134</x:v>
      </x:c>
      <x:c r="L16" s="16" t="n">
        <x:f>0</x:f>
        <x:v>0</x:v>
      </x:c>
      <x:c r="M16" s="16" t="n">
        <x:f>0</x:f>
        <x:v>0</x:v>
      </x:c>
      <x:c r="N16" s="16" t="n">
        <x:f>J16+L16</x:f>
        <x:v>0.15556112224448898</x:v>
      </x:c>
      <x:c r="O16" s="16" t="n">
        <x:f>K16+M16</x:f>
        <x:v>0.40445891783567134</x:v>
      </x:c>
      <x:c r="P16" s="16" t="n">
        <x:f>N16+I16</x:f>
        <x:v>0.15556112224448898</x:v>
      </x:c>
      <x:c r="Q16" s="16" t="n">
        <x:f>O16+I16</x:f>
        <x:v>0.40445891783567134</x:v>
      </x:c>
      <x:c r="R16" s="16" t="n">
        <x:f>ABS(D16)*O16</x:f>
        <x:v>0.2730097695390782</x:v>
      </x:c>
      <x:c r="S16" s="16" t="n">
        <x:f>E16-O16</x:f>
        <x:v>2.5955410821643286</x:v>
      </x:c>
      <x:c r="T16" s="16"/>
      <x:c r="U16" s="16"/>
      <x:c r="V16" s="12" t="str">
        <x:v>Tracking DDR1V35/2; источник и сток; абсолютное окно не фиксируется</x:v>
      </x:c>
      <x:c r="W16" s="12" t="str">
        <x:v>https://www.ti.com/product/TPS51200</x:v>
      </x:c>
      <x:c r="X16" s="12" t="str">
        <x:v>Power</x:v>
      </x:c>
      <x:c r="Y16" s="23" t="n">
        <x:f>ABS(D14)*Q16-R16</x:f>
        <x:v>0.2730097695390782</x:v>
      </x:c>
    </x:row>
    <x:row r="17" ht="47" customHeight="1">
      <x:c r="A17" s="2" t="str">
        <x:v>DDR_VREF</x:v>
      </x:c>
      <x:c r="B17" s="2" t="str">
        <x:v>AON</x:v>
      </x:c>
      <x:c r="C17" s="2" t="str">
        <x:v>U1801 TPS51200 REFOUT</x:v>
      </x:c>
      <x:c r="D17" s="17" t="n">
        <x:v>0.675</x:v>
      </x:c>
      <x:c r="E17" s="17"/>
      <x:c r="F17" s="17" t="n">
        <x:v>0</x:v>
      </x:c>
      <x:c r="G17" s="17" t="str">
        <x:v>linear</x:v>
      </x:c>
      <x:c r="H17" s="15" t="n">
        <x:v>0.205</x:v>
      </x:c>
      <x:c r="I17" s="25" t="n">
        <x:v>0</x:v>
      </x:c>
      <x:c r="J17" s="17" t="n">
        <x:f>SUMIFS('Нагрузки'!$D$6:$D$37,'Нагрузки'!$A$6:$A$37,A17)</x:f>
        <x:v>0.0001</x:v>
      </x:c>
      <x:c r="K17" s="17" t="n">
        <x:f>SUMIFS('Нагрузки'!$E$6:$E$37,'Нагрузки'!$A$6:$A$37,A17)</x:f>
        <x:v>0.0013000000000000002</x:v>
      </x:c>
      <x:c r="L17" s="17" t="n">
        <x:f>0</x:f>
        <x:v>0</x:v>
      </x:c>
      <x:c r="M17" s="17" t="n">
        <x:f>0</x:f>
        <x:v>0</x:v>
      </x:c>
      <x:c r="N17" s="17" t="n">
        <x:f>J17+L17</x:f>
        <x:v>0.0001</x:v>
      </x:c>
      <x:c r="O17" s="17" t="n">
        <x:f>K17+M17</x:f>
        <x:v>0.0013000000000000002</x:v>
      </x:c>
      <x:c r="P17" s="17" t="n">
        <x:f>N17+I17</x:f>
        <x:v>0.0001</x:v>
      </x:c>
      <x:c r="Q17" s="17" t="n">
        <x:f>O17+I17</x:f>
        <x:v>0.0013000000000000002</x:v>
      </x:c>
      <x:c r="R17" s="17" t="n">
        <x:f>ABS(D17)*O17</x:f>
        <x:v>0.0008775000000000001</x:v>
      </x:c>
      <x:c r="S17" s="17" t="str">
        <x:f>"не определён"</x:f>
        <x:v>не определён</x:v>
      </x:c>
      <x:c r="T17" s="17"/>
      <x:c r="U17" s="17"/>
      <x:c r="V17" s="13" t="str">
        <x:v>Опора DDR1V35/2; питание REFOUT от VIN; Iq учтён в AON</x:v>
      </x:c>
      <x:c r="W17" s="13" t="str">
        <x:v>https://www.ti.com/product/TPS51200</x:v>
      </x:c>
      <x:c r="X17" s="13" t="str">
        <x:v>Power</x:v>
      </x:c>
      <x:c r="Y17" s="23" t="n">
        <x:f>ABS(D6)*Q17-R17</x:f>
        <x:v>0.0033865</x:v>
      </x:c>
    </x:row>
    <x:row r="18" ht="47" customHeight="1">
      <x:c r="A18" s="9" t="str">
        <x:v>ANA6</x:v>
      </x:c>
      <x:c r="B18" s="9" t="str">
        <x:v>BUS24</x:v>
      </x:c>
      <x:c r="C18" s="9" t="str">
        <x:v>U901 LMR51610</x:v>
      </x:c>
      <x:c r="D18" s="16" t="n">
        <x:v>6</x:v>
      </x:c>
      <x:c r="E18" s="16" t="n">
        <x:v>1</x:v>
      </x:c>
      <x:c r="F18" s="16" t="n">
        <x:v>0.05</x:v>
      </x:c>
      <x:c r="G18" s="16" t="str">
        <x:v>buck</x:v>
      </x:c>
      <x:c r="H18" s="15" t="n">
        <x:v>0.85</x:v>
      </x:c>
      <x:c r="I18" s="25" t="n">
        <x:v>0.000025</x:v>
      </x:c>
      <x:c r="J18" s="16" t="n">
        <x:f>SUMIFS('Нагрузки'!$D$6:$D$37,'Нагрузки'!$A$6:$A$37,A18)</x:f>
        <x:v>0</x:v>
      </x:c>
      <x:c r="K18" s="16" t="n">
        <x:f>SUMIFS('Нагрузки'!$E$6:$E$37,'Нагрузки'!$A$6:$A$37,A18)</x:f>
        <x:v>0</x:v>
      </x:c>
      <x:c r="L18" s="16" t="n">
        <x:f>P19</x:f>
        <x:v>0.10983</x:v>
      </x:c>
      <x:c r="M18" s="16" t="n">
        <x:f>Q19</x:f>
        <x:v>0.27143</x:v>
      </x:c>
      <x:c r="N18" s="16" t="n">
        <x:f>J18+L18</x:f>
        <x:v>0.10983</x:v>
      </x:c>
      <x:c r="O18" s="16" t="n">
        <x:f>K18+M18</x:f>
        <x:v>0.27143</x:v>
      </x:c>
      <x:c r="P18" s="16" t="n">
        <x:f>ABS(D18)*N18/('Вход'!$C$6*H18)+I18</x:f>
        <x:v>0.03232794117647059</x:v>
      </x:c>
      <x:c r="Q18" s="16" t="n">
        <x:f>ABS(D18)*O18/('Вход'!$C$6*H18)+I18</x:f>
        <x:v>0.07985735294117646</x:v>
      </x:c>
      <x:c r="R18" s="16" t="n">
        <x:f>ABS(D18)*O18</x:f>
        <x:v>1.62858</x:v>
      </x:c>
      <x:c r="S18" s="16" t="n">
        <x:f>E18-O18</x:f>
        <x:v>0.7285699999999999</x:v>
      </x:c>
      <x:c r="T18" s="16" t="n">
        <x:v>5.5</x:v>
      </x:c>
      <x:c r="U18" s="16" t="n">
        <x:v>6.3</x:v>
      </x:c>
      <x:c r="V18" s="12" t="str">
        <x:v>D11: проектное окно перед LDO</x:v>
      </x:c>
      <x:c r="W18" s="12" t="str">
        <x:v>https://www.ti.com/product/LMR51610</x:v>
      </x:c>
      <x:c r="X18" s="12" t="str">
        <x:v>Power</x:v>
      </x:c>
      <x:c r="Y18" s="23" t="n">
        <x:f>'Вход'!$C$6*Q18-R18</x:f>
        <x:v>0.2879964705882352</x:v>
      </x:c>
    </x:row>
    <x:row r="19" ht="47" customHeight="1">
      <x:c r="A19" s="2" t="str">
        <x:v>ANA5</x:v>
      </x:c>
      <x:c r="B19" s="2" t="str">
        <x:v>ANA6</x:v>
      </x:c>
      <x:c r="C19" s="2" t="str">
        <x:v>U1901 TPS7A9101</x:v>
      </x:c>
      <x:c r="D19" s="17" t="n">
        <x:v>5</x:v>
      </x:c>
      <x:c r="E19" s="17" t="n">
        <x:v>1</x:v>
      </x:c>
      <x:c r="F19" s="17" t="n">
        <x:v>0.05</x:v>
      </x:c>
      <x:c r="G19" s="17" t="str">
        <x:v>linear</x:v>
      </x:c>
      <x:c r="H19" s="15" t="n">
        <x:v>0.8333333333333334</x:v>
      </x:c>
      <x:c r="I19" s="25" t="n">
        <x:v>0.0044</x:v>
      </x:c>
      <x:c r="J19" s="17" t="n">
        <x:f>SUMIFS('Нагрузки'!$D$6:$D$37,'Нагрузки'!$A$6:$A$37,A19)</x:f>
        <x:v>0.08</x:v>
      </x:c>
      <x:c r="K19" s="17" t="n">
        <x:f>SUMIFS('Нагрузки'!$E$6:$E$37,'Нагрузки'!$A$6:$A$37,A19)</x:f>
        <x:v>0.195</x:v>
      </x:c>
      <x:c r="L19" s="17" t="n">
        <x:f>P20</x:f>
        <x:v>0.02543</x:v>
      </x:c>
      <x:c r="M19" s="17" t="n">
        <x:f>Q20</x:f>
        <x:v>0.07203000000000001</x:v>
      </x:c>
      <x:c r="N19" s="17" t="n">
        <x:f>J19+L19</x:f>
        <x:v>0.10543</x:v>
      </x:c>
      <x:c r="O19" s="17" t="n">
        <x:f>K19+M19</x:f>
        <x:v>0.26703</x:v>
      </x:c>
      <x:c r="P19" s="17" t="n">
        <x:f>N19+I19</x:f>
        <x:v>0.10983</x:v>
      </x:c>
      <x:c r="Q19" s="17" t="n">
        <x:f>O19+I19</x:f>
        <x:v>0.27143</x:v>
      </x:c>
      <x:c r="R19" s="17" t="n">
        <x:f>ABS(D19)*O19</x:f>
        <x:v>1.33515</x:v>
      </x:c>
      <x:c r="S19" s="17" t="n">
        <x:f>E19-O19</x:f>
        <x:v>0.73297</x:v>
      </x:c>
      <x:c r="T19" s="17" t="n">
        <x:v>4.75</x:v>
      </x:c>
      <x:c r="U19" s="17" t="n">
        <x:v>5.25</x:v>
      </x:c>
      <x:c r="V19" s="13" t="str">
        <x:v>D11: предварительное окно, проверить точность и headroom</x:v>
      </x:c>
      <x:c r="W19" s="13" t="str">
        <x:v>https://www.ti.com/product/TPS7A91</x:v>
      </x:c>
      <x:c r="X19" s="13" t="str">
        <x:v>Power</x:v>
      </x:c>
      <x:c r="Y19" s="23" t="n">
        <x:f>ABS(D18)*Q19-R19</x:f>
        <x:v>0.29342999999999986</x:v>
      </x:c>
    </x:row>
    <x:row r="20" ht="47" customHeight="1">
      <x:c r="A20" s="9" t="str">
        <x:v>ANA3V3</x:v>
      </x:c>
      <x:c r="B20" s="9" t="str">
        <x:v>ANA5</x:v>
      </x:c>
      <x:c r="C20" s="9" t="str">
        <x:v>U2001 TPS7A9101</x:v>
      </x:c>
      <x:c r="D20" s="16" t="n">
        <x:v>3.295</x:v>
      </x:c>
      <x:c r="E20" s="16" t="n">
        <x:v>1</x:v>
      </x:c>
      <x:c r="F20" s="16" t="n">
        <x:v>0.05</x:v>
      </x:c>
      <x:c r="G20" s="16" t="str">
        <x:v>linear</x:v>
      </x:c>
      <x:c r="H20" s="15" t="n">
        <x:v>0.659</x:v>
      </x:c>
      <x:c r="I20" s="25" t="n">
        <x:v>0.0044</x:v>
      </x:c>
      <x:c r="J20" s="16" t="n">
        <x:f>SUMIFS('Нагрузки'!$D$6:$D$37,'Нагрузки'!$A$6:$A$37,A20)</x:f>
        <x:v>0.001</x:v>
      </x:c>
      <x:c r="K20" s="16" t="n">
        <x:f>SUMIFS('Нагрузки'!$E$6:$E$37,'Нагрузки'!$A$6:$A$37,A20)</x:f>
        <x:v>0.0026000000000000003</x:v>
      </x:c>
      <x:c r="L20" s="16" t="n">
        <x:f>P26</x:f>
        <x:v>0.02003</x:v>
      </x:c>
      <x:c r="M20" s="16" t="n">
        <x:f>Q26</x:f>
        <x:v>0.06503</x:v>
      </x:c>
      <x:c r="N20" s="16" t="n">
        <x:f>J20+L20</x:f>
        <x:v>0.02103</x:v>
      </x:c>
      <x:c r="O20" s="16" t="n">
        <x:f>K20+M20</x:f>
        <x:v>0.06763000000000001</x:v>
      </x:c>
      <x:c r="P20" s="16" t="n">
        <x:f>N20+I20</x:f>
        <x:v>0.02543</x:v>
      </x:c>
      <x:c r="Q20" s="16" t="n">
        <x:f>O20+I20</x:f>
        <x:v>0.07203000000000001</x:v>
      </x:c>
      <x:c r="R20" s="16" t="n">
        <x:f>ABS(D20)*O20</x:f>
        <x:v>0.22284085000000003</x:v>
      </x:c>
      <x:c r="S20" s="16" t="n">
        <x:f>E20-O20</x:f>
        <x:v>0.93237</x:v>
      </x:c>
      <x:c r="T20" s="16" t="n">
        <x:v>3.135</x:v>
      </x:c>
      <x:c r="U20" s="16" t="n">
        <x:v>3.465</x:v>
      </x:c>
      <x:c r="V20" s="12" t="str">
        <x:v>D11: проектное окно</x:v>
      </x:c>
      <x:c r="W20" s="12" t="str">
        <x:v>https://www.ti.com/product/TPS7A91</x:v>
      </x:c>
      <x:c r="X20" s="12" t="str">
        <x:v>Power</x:v>
      </x:c>
      <x:c r="Y20" s="23" t="n">
        <x:f>ABS(D19)*Q20-R20</x:f>
        <x:v>0.13730915000000005</x:v>
      </x:c>
    </x:row>
    <x:row r="21" ht="47" customHeight="1">
      <x:c r="A21" s="2" t="str">
        <x:v>P15</x:v>
      </x:c>
      <x:c r="B21" s="2" t="str">
        <x:v>BUS24</x:v>
      </x:c>
      <x:c r="C21" s="2" t="str">
        <x:v>U1001 LMR51610</x:v>
      </x:c>
      <x:c r="D21" s="17" t="n">
        <x:v>14.990045248868777</x:v>
      </x:c>
      <x:c r="E21" s="17" t="n">
        <x:v>1</x:v>
      </x:c>
      <x:c r="F21" s="17" t="n">
        <x:v>0.1</x:v>
      </x:c>
      <x:c r="G21" s="17" t="str">
        <x:v>buck</x:v>
      </x:c>
      <x:c r="H21" s="15" t="n">
        <x:v>0.85</x:v>
      </x:c>
      <x:c r="I21" s="25" t="n">
        <x:v>0.000025</x:v>
      </x:c>
      <x:c r="J21" s="17" t="n">
        <x:f>SUMIFS('Нагрузки'!$D$6:$D$37,'Нагрузки'!$A$6:$A$37,A21)</x:f>
        <x:v>0.105</x:v>
      </x:c>
      <x:c r="K21" s="17" t="n">
        <x:f>SUMIFS('Нагрузки'!$E$6:$E$37,'Нагрузки'!$A$6:$A$37,A21)</x:f>
        <x:v>0.39</x:v>
      </x:c>
      <x:c r="L21" s="17" t="n">
        <x:f>P23+P27</x:f>
        <x:v>0.0231</x:v>
      </x:c>
      <x:c r="M21" s="17" t="n">
        <x:f>Q23+Q27</x:f>
        <x:v>0.0885</x:v>
      </x:c>
      <x:c r="N21" s="17" t="n">
        <x:f>J21+L21</x:f>
        <x:v>0.1281</x:v>
      </x:c>
      <x:c r="O21" s="17" t="n">
        <x:f>K21+M21</x:f>
        <x:v>0.47850000000000004</x:v>
      </x:c>
      <x:c r="P21" s="17" t="n">
        <x:f>ABS(D21)*N21/('Вход'!$C$6*H21)+I21</x:f>
        <x:v>0.09415366648922012</x:v>
      </x:c>
      <x:c r="Q21" s="17" t="n">
        <x:f>ABS(D21)*O21/('Вход'!$C$6*H21)+I21</x:f>
        <x:v>0.35162973782273094</x:v>
      </x:c>
      <x:c r="R21" s="17" t="n">
        <x:f>ABS(D21)*O21</x:f>
        <x:v>7.17273665158371</x:v>
      </x:c>
      <x:c r="S21" s="17" t="n">
        <x:f>E21-O21</x:f>
        <x:v>0.5215</x:v>
      </x:c>
      <x:c r="T21" s="17" t="n">
        <x:v>14.25</x:v>
      </x:c>
      <x:c r="U21" s="17" t="n">
        <x:v>15.75</x:v>
      </x:c>
      <x:c r="V21" s="13" t="str">
        <x:v>D11: проектное окно; запас аналоговых выходов ещё проверить</x:v>
      </x:c>
      <x:c r="W21" s="13" t="str">
        <x:v>https://www.ti.com/product/LMR51610</x:v>
      </x:c>
      <x:c r="X21" s="13" t="str">
        <x:v>Power</x:v>
      </x:c>
      <x:c r="Y21" s="23" t="n">
        <x:f>'Вход'!$C$6*Q21-R21</x:f>
        <x:v>1.2663770561618328</x:v>
      </x:c>
    </x:row>
    <x:row r="22" ht="47" customHeight="1">
      <x:c r="A22" s="9" t="str">
        <x:v>N15</x:v>
      </x:c>
      <x:c r="B22" s="9" t="str">
        <x:v>BUS24</x:v>
      </x:c>
      <x:c r="C22" s="9" t="str">
        <x:v>U1102 TEN 30-2413WIN</x:v>
      </x:c>
      <x:c r="D22" s="16" t="n">
        <x:v>-15</x:v>
      </x:c>
      <x:c r="E22" s="16" t="n">
        <x:v>2</x:v>
      </x:c>
      <x:c r="F22" s="16" t="n">
        <x:v>0.1</x:v>
      </x:c>
      <x:c r="G22" s="16" t="str">
        <x:v>isolated_module</x:v>
      </x:c>
      <x:c r="H22" s="15" t="n">
        <x:v>0.8</x:v>
      </x:c>
      <x:c r="I22" s="25" t="n">
        <x:v>0.03</x:v>
      </x:c>
      <x:c r="J22" s="16" t="n">
        <x:f>SUMIFS('Нагрузки'!$D$6:$D$37,'Нагрузки'!$A$6:$A$37,A22)</x:f>
        <x:v>0.105</x:v>
      </x:c>
      <x:c r="K22" s="16" t="n">
        <x:f>SUMIFS('Нагрузки'!$E$6:$E$37,'Нагрузки'!$A$6:$A$37,A22)</x:f>
        <x:v>0.39</x:v>
      </x:c>
      <x:c r="L22" s="16" t="n">
        <x:f>P24</x:f>
        <x:v>0.02</x:v>
      </x:c>
      <x:c r="M22" s="16" t="n">
        <x:f>Q24</x:f>
        <x:v>0.078</x:v>
      </x:c>
      <x:c r="N22" s="16" t="n">
        <x:f>J22+L22</x:f>
        <x:v>0.125</x:v>
      </x:c>
      <x:c r="O22" s="16" t="n">
        <x:f>K22+M22</x:f>
        <x:v>0.468</x:v>
      </x:c>
      <x:c r="P22" s="16" t="n">
        <x:f>ABS(D22)*N22/('Вход'!$C$6*H22)+I22</x:f>
        <x:v>0.12765624999999997</x:v>
      </x:c>
      <x:c r="Q22" s="16" t="n">
        <x:f>ABS(D22)*O22/('Вход'!$C$6*H22)+I22</x:f>
        <x:v>0.395625</x:v>
      </x:c>
      <x:c r="R22" s="16" t="n">
        <x:f>ABS(D22)*O22</x:f>
        <x:v>7.0200000000000005</x:v>
      </x:c>
      <x:c r="S22" s="16" t="n">
        <x:f>E22-O22</x:f>
        <x:v>1.532</x:v>
      </x:c>
      <x:c r="T22" s="16" t="n">
        <x:v>14.25</x:v>
      </x:c>
      <x:c r="U22" s="16" t="n">
        <x:v>15.75</x:v>
      </x:c>
      <x:c r="V22" s="12" t="str">
        <x:v>Модуль 15 В / 2 А; OCP платы ограничивает раньше. КПД 0,80 — сценарий, I0=30 мА тип.</x:v>
      </x:c>
      <x:c r="W22" s="12" t="str">
        <x:v>https://www.tracopower.com/products/ten30win.pdf</x:v>
      </x:c>
      <x:c r="X22" s="12" t="str">
        <x:v>Power</x:v>
      </x:c>
      <x:c r="Y22" s="23" t="n">
        <x:f>'Вход'!$C$6*Q22-R22</x:f>
        <x:v>2.4750000000000005</x:v>
      </x:c>
    </x:row>
    <x:row r="23" ht="47" customHeight="1">
      <x:c r="A23" s="2" t="str">
        <x:v>PROG_P15</x:v>
      </x:c>
      <x:c r="B23" s="2" t="str">
        <x:v>P15</x:v>
      </x:c>
      <x:c r="C23" s="2" t="str">
        <x:v>Q2102/Q2103; P15</x:v>
      </x:c>
      <x:c r="D23" s="17" t="n">
        <x:v>14.990045248868777</x:v>
      </x:c>
      <x:c r="E23" s="17"/>
      <x:c r="F23" s="17" t="n">
        <x:v>0</x:v>
      </x:c>
      <x:c r="G23" s="17" t="str">
        <x:v>switch</x:v>
      </x:c>
      <x:c r="H23" s="15" t="n">
        <x:v>1</x:v>
      </x:c>
      <x:c r="I23" s="25" t="n">
        <x:v>0</x:v>
      </x:c>
      <x:c r="J23" s="17" t="n">
        <x:f>SUMIFS('Нагрузки'!$D$6:$D$37,'Нагрузки'!$A$6:$A$37,A23)</x:f>
        <x:v>0.02</x:v>
      </x:c>
      <x:c r="K23" s="17" t="n">
        <x:f>SUMIFS('Нагрузки'!$E$6:$E$37,'Нагрузки'!$A$6:$A$37,A23)</x:f>
        <x:v>0.078</x:v>
      </x:c>
      <x:c r="L23" s="17" t="n">
        <x:f>0</x:f>
        <x:v>0</x:v>
      </x:c>
      <x:c r="M23" s="17" t="n">
        <x:f>0</x:f>
        <x:v>0</x:v>
      </x:c>
      <x:c r="N23" s="17" t="n">
        <x:f>J23+L23</x:f>
        <x:v>0.02</x:v>
      </x:c>
      <x:c r="O23" s="17" t="n">
        <x:f>K23+M23</x:f>
        <x:v>0.078</x:v>
      </x:c>
      <x:c r="P23" s="17" t="n">
        <x:f>N23+I23</x:f>
        <x:v>0.02</x:v>
      </x:c>
      <x:c r="Q23" s="17" t="n">
        <x:f>O23+I23</x:f>
        <x:v>0.078</x:v>
      </x:c>
      <x:c r="R23" s="17" t="n">
        <x:f>ABS(D23)*O23</x:f>
        <x:v>1.1692235294117646</x:v>
      </x:c>
      <x:c r="S23" s="17" t="str">
        <x:f>"не определён"</x:f>
        <x:v>не определён</x:v>
      </x:c>
      <x:c r="T23" s="17" t="n">
        <x:v>14.25</x:v>
      </x:c>
      <x:c r="U23" s="17" t="n">
        <x:v>15.75</x:v>
      </x:c>
      <x:c r="V23" s="13" t="str">
        <x:v>D11: по модулю; сопротивление MOSFET ещё не включено</x:v>
      </x:c>
      <x:c r="W23" s="13" t="str">
        <x:v>https://github.com/max-talanov/mira/tree/52f43869b6ed5019490eb40afbc84a4d607fd61e/hardware</x:v>
      </x:c>
      <x:c r="X23" s="13" t="str">
        <x:v>Power</x:v>
      </x:c>
      <x:c r="Y23" s="23" t="n">
        <x:f>ABS(D21)*Q23-R23</x:f>
        <x:v>0</x:v>
      </x:c>
    </x:row>
    <x:row r="24" ht="47" customHeight="1">
      <x:c r="A24" s="9" t="str">
        <x:v>PROG_N15</x:v>
      </x:c>
      <x:c r="B24" s="9" t="str">
        <x:v>N15</x:v>
      </x:c>
      <x:c r="C24" s="9" t="str">
        <x:v>Ключи листа 2200; N15</x:v>
      </x:c>
      <x:c r="D24" s="16" t="n">
        <x:v>-15</x:v>
      </x:c>
      <x:c r="E24" s="16"/>
      <x:c r="F24" s="16" t="n">
        <x:v>0</x:v>
      </x:c>
      <x:c r="G24" s="16" t="str">
        <x:v>switch</x:v>
      </x:c>
      <x:c r="H24" s="15" t="n">
        <x:v>1</x:v>
      </x:c>
      <x:c r="I24" s="25" t="n">
        <x:v>0</x:v>
      </x:c>
      <x:c r="J24" s="16" t="n">
        <x:f>SUMIFS('Нагрузки'!$D$6:$D$37,'Нагрузки'!$A$6:$A$37,A24)</x:f>
        <x:v>0.02</x:v>
      </x:c>
      <x:c r="K24" s="16" t="n">
        <x:f>SUMIFS('Нагрузки'!$E$6:$E$37,'Нагрузки'!$A$6:$A$37,A24)</x:f>
        <x:v>0.078</x:v>
      </x:c>
      <x:c r="L24" s="16" t="n">
        <x:f>0</x:f>
        <x:v>0</x:v>
      </x:c>
      <x:c r="M24" s="16" t="n">
        <x:f>0</x:f>
        <x:v>0</x:v>
      </x:c>
      <x:c r="N24" s="16" t="n">
        <x:f>J24+L24</x:f>
        <x:v>0.02</x:v>
      </x:c>
      <x:c r="O24" s="16" t="n">
        <x:f>K24+M24</x:f>
        <x:v>0.078</x:v>
      </x:c>
      <x:c r="P24" s="16" t="n">
        <x:f>N24+I24</x:f>
        <x:v>0.02</x:v>
      </x:c>
      <x:c r="Q24" s="16" t="n">
        <x:f>O24+I24</x:f>
        <x:v>0.078</x:v>
      </x:c>
      <x:c r="R24" s="16" t="n">
        <x:f>ABS(D24)*O24</x:f>
        <x:v>1.17</x:v>
      </x:c>
      <x:c r="S24" s="16" t="str">
        <x:f>"не определён"</x:f>
        <x:v>не определён</x:v>
      </x:c>
      <x:c r="T24" s="16" t="n">
        <x:v>14.25</x:v>
      </x:c>
      <x:c r="U24" s="16" t="n">
        <x:v>15.75</x:v>
      </x:c>
      <x:c r="V24" s="12" t="str">
        <x:v>D11: по модулю; сопротивление MOSFET ещё не включено</x:v>
      </x:c>
      <x:c r="W24" s="12" t="str">
        <x:v>https://github.com/max-talanov/mira/tree/52f43869b6ed5019490eb40afbc84a4d607fd61e/hardware</x:v>
      </x:c>
      <x:c r="X24" s="12" t="str">
        <x:v>Power</x:v>
      </x:c>
      <x:c r="Y24" s="23" t="n">
        <x:f>ABS(D22)*Q24-R24</x:f>
        <x:v>0</x:v>
      </x:c>
    </x:row>
    <x:row r="25" ht="47" customHeight="1">
      <x:c r="A25" s="2" t="str">
        <x:v>PHY2V5</x:v>
      </x:c>
      <x:c r="B25" s="2" t="str">
        <x:v>IO3V3</x:v>
      </x:c>
      <x:c r="C25" s="2" t="str">
        <x:v>U903 TLV75525P</x:v>
      </x:c>
      <x:c r="D25" s="17" t="n">
        <x:v>2.5</x:v>
      </x:c>
      <x:c r="E25" s="17" t="n">
        <x:v>0.5</x:v>
      </x:c>
      <x:c r="F25" s="17" t="n">
        <x:v>0</x:v>
      </x:c>
      <x:c r="G25" s="17" t="str">
        <x:v>linear</x:v>
      </x:c>
      <x:c r="H25" s="15" t="n">
        <x:v>0.7587253414264037</x:v>
      </x:c>
      <x:c r="I25" s="25" t="n">
        <x:v>0.00003</x:v>
      </x:c>
      <x:c r="J25" s="17" t="n">
        <x:f>SUMIFS('Нагрузки'!$D$6:$D$37,'Нагрузки'!$A$6:$A$37,A25)</x:f>
        <x:v>0.137</x:v>
      </x:c>
      <x:c r="K25" s="17" t="n">
        <x:f>SUMIFS('Нагрузки'!$E$6:$E$37,'Нагрузки'!$A$6:$A$37,A25)</x:f>
        <x:v>0.26</x:v>
      </x:c>
      <x:c r="L25" s="17" t="n">
        <x:f>0</x:f>
        <x:v>0</x:v>
      </x:c>
      <x:c r="M25" s="17" t="n">
        <x:f>0</x:f>
        <x:v>0</x:v>
      </x:c>
      <x:c r="N25" s="17" t="n">
        <x:f>J25+L25</x:f>
        <x:v>0.137</x:v>
      </x:c>
      <x:c r="O25" s="17" t="n">
        <x:f>K25+M25</x:f>
        <x:v>0.26</x:v>
      </x:c>
      <x:c r="P25" s="17" t="n">
        <x:f>N25+I25</x:f>
        <x:v>0.13703</x:v>
      </x:c>
      <x:c r="Q25" s="17" t="n">
        <x:f>O25+I25</x:f>
        <x:v>0.26003</x:v>
      </x:c>
      <x:c r="R25" s="17" t="n">
        <x:f>ABS(D25)*O25</x:f>
        <x:v>0.65</x:v>
      </x:c>
      <x:c r="S25" s="17" t="n">
        <x:f>E25-O25</x:f>
        <x:v>0.24</x:v>
      </x:c>
      <x:c r="T25" s="17" t="n">
        <x:v>2.375</x:v>
      </x:c>
      <x:c r="U25" s="17" t="n">
        <x:v>2.625</x:v>
      </x:c>
      <x:c r="V25" s="13" t="str">
        <x:v>TI DP83867 VDDA2P5</x:v>
      </x:c>
      <x:c r="W25" s="13" t="str">
        <x:v>https://github.com/max-talanov/mira/tree/52f43869b6ed5019490eb40afbc84a4d607fd61e/hardware</x:v>
      </x:c>
      <x:c r="X25" s="13" t="str">
        <x:v>Control</x:v>
      </x:c>
      <x:c r="Y25" s="23" t="n">
        <x:f>ABS(D13)*Q25-R25</x:f>
        <x:v>0.20679884999999987</x:v>
      </x:c>
    </x:row>
    <x:row r="26" ht="47" customHeight="1">
      <x:c r="A26" s="9" t="str">
        <x:v>MAT_ADC_1V8</x:v>
      </x:c>
      <x:c r="B26" s="9" t="str">
        <x:v>ANA3V3</x:v>
      </x:c>
      <x:c r="C26" s="9" t="str">
        <x:v>U2005 TLV75518P</x:v>
      </x:c>
      <x:c r="D26" s="16" t="n">
        <x:v>1.8</x:v>
      </x:c>
      <x:c r="E26" s="16" t="n">
        <x:v>0.5</x:v>
      </x:c>
      <x:c r="F26" s="16" t="n">
        <x:v>0</x:v>
      </x:c>
      <x:c r="G26" s="16" t="str">
        <x:v>linear</x:v>
      </x:c>
      <x:c r="H26" s="15" t="n">
        <x:v>0.5462822458270107</x:v>
      </x:c>
      <x:c r="I26" s="25" t="n">
        <x:v>0.00003</x:v>
      </x:c>
      <x:c r="J26" s="16" t="n">
        <x:f>SUMIFS('Нагрузки'!$D$6:$D$37,'Нагрузки'!$A$6:$A$37,A26)</x:f>
        <x:v>0.02</x:v>
      </x:c>
      <x:c r="K26" s="16" t="n">
        <x:f>SUMIFS('Нагрузки'!$E$6:$E$37,'Нагрузки'!$A$6:$A$37,A26)</x:f>
        <x:v>0.065</x:v>
      </x:c>
      <x:c r="L26" s="16" t="n">
        <x:f>0</x:f>
        <x:v>0</x:v>
      </x:c>
      <x:c r="M26" s="16" t="n">
        <x:f>0</x:f>
        <x:v>0</x:v>
      </x:c>
      <x:c r="N26" s="16" t="n">
        <x:f>J26+L26</x:f>
        <x:v>0.02</x:v>
      </x:c>
      <x:c r="O26" s="16" t="n">
        <x:f>K26+M26</x:f>
        <x:v>0.065</x:v>
      </x:c>
      <x:c r="P26" s="16" t="n">
        <x:f>N26+I26</x:f>
        <x:v>0.02003</x:v>
      </x:c>
      <x:c r="Q26" s="16" t="n">
        <x:f>O26+I26</x:f>
        <x:v>0.06503</x:v>
      </x:c>
      <x:c r="R26" s="16" t="n">
        <x:f>ABS(D26)*O26</x:f>
        <x:v>0.117</x:v>
      </x:c>
      <x:c r="S26" s="16" t="n">
        <x:f>E26-O26</x:f>
        <x:v>0.435</x:v>
      </x:c>
      <x:c r="T26" s="16" t="n">
        <x:v>1.71</x:v>
      </x:c>
      <x:c r="U26" s="16" t="n">
        <x:v>1.89</x:v>
      </x:c>
      <x:c r="V26" s="12" t="str">
        <x:v>D11: проектное окно, сверить AD4003</x:v>
      </x:c>
      <x:c r="W26" s="12" t="str">
        <x:v>https://github.com/max-talanov/mira/tree/52f43869b6ed5019490eb40afbc84a4d607fd61e/hardware</x:v>
      </x:c>
      <x:c r="X26" s="12" t="str">
        <x:v>Control</x:v>
      </x:c>
      <x:c r="Y26" s="23" t="n">
        <x:f>ABS(D20)*Q26-R26</x:f>
        <x:v>0.09727385000000001</x:v>
      </x:c>
    </x:row>
    <x:row r="27" ht="47" customHeight="1">
      <x:c r="A27" s="2" t="str">
        <x:v>MAT_REF_PRE12</x:v>
      </x:c>
      <x:c r="B27" s="2" t="str">
        <x:v>P15</x:v>
      </x:c>
      <x:c r="C27" s="2" t="str">
        <x:v>U2006 TLV76012</x:v>
      </x:c>
      <x:c r="D27" s="17" t="n">
        <x:v>12</x:v>
      </x:c>
      <x:c r="E27" s="17" t="n">
        <x:v>0.1</x:v>
      </x:c>
      <x:c r="F27" s="17" t="n">
        <x:v>0</x:v>
      </x:c>
      <x:c r="G27" s="17" t="str">
        <x:v>linear</x:v>
      </x:c>
      <x:c r="H27" s="15" t="n">
        <x:v>0.8</x:v>
      </x:c>
      <x:c r="I27" s="25" t="n">
        <x:v>0.0001</x:v>
      </x:c>
      <x:c r="J27" s="17" t="n">
        <x:f>SUMIFS('Нагрузки'!$D$6:$D$37,'Нагрузки'!$A$6:$A$37,A27)</x:f>
        <x:v>0.002</x:v>
      </x:c>
      <x:c r="K27" s="17" t="n">
        <x:f>SUMIFS('Нагрузки'!$E$6:$E$37,'Нагрузки'!$A$6:$A$37,A27)</x:f>
        <x:v>0.0039000000000000003</x:v>
      </x:c>
      <x:c r="L27" s="17" t="n">
        <x:f>P28</x:f>
        <x:v>0.001</x:v>
      </x:c>
      <x:c r="M27" s="17" t="n">
        <x:f>Q28</x:f>
        <x:v>0.006500000000000001</x:v>
      </x:c>
      <x:c r="N27" s="17" t="n">
        <x:f>J27+L27</x:f>
        <x:v>0.003</x:v>
      </x:c>
      <x:c r="O27" s="17" t="n">
        <x:f>K27+M27</x:f>
        <x:v>0.010400000000000001</x:v>
      </x:c>
      <x:c r="P27" s="17" t="n">
        <x:f>N27+I27</x:f>
        <x:v>0.0031</x:v>
      </x:c>
      <x:c r="Q27" s="17" t="n">
        <x:f>O27+I27</x:f>
        <x:v>0.0105</x:v>
      </x:c>
      <x:c r="R27" s="17" t="n">
        <x:f>ABS(D27)*O27</x:f>
        <x:v>0.12480000000000002</x:v>
      </x:c>
      <x:c r="S27" s="17" t="n">
        <x:f>E27-O27</x:f>
        <x:v>0.0896</x:v>
      </x:c>
      <x:c r="T27" s="17" t="n">
        <x:v>11.4</x:v>
      </x:c>
      <x:c r="U27" s="17" t="n">
        <x:v>12.6</x:v>
      </x:c>
      <x:c r="V27" s="13" t="str">
        <x:v>D11: проектное окно</x:v>
      </x:c>
      <x:c r="W27" s="13" t="str">
        <x:v>https://github.com/max-talanov/mira/tree/52f43869b6ed5019490eb40afbc84a4d607fd61e/hardware</x:v>
      </x:c>
      <x:c r="X27" s="13" t="str">
        <x:v>Control</x:v>
      </x:c>
      <x:c r="Y27" s="23" t="n">
        <x:f>ABS(D21)*Q27-R27</x:f>
        <x:v>0.032595475113122135</x:v>
      </x:c>
    </x:row>
    <x:row r="28" ht="47" customHeight="1">
      <x:c r="A28" s="9" t="str">
        <x:v>MAT_ADC_REF</x:v>
      </x:c>
      <x:c r="B28" s="9" t="str">
        <x:v>MAT_REF_PRE12</x:v>
      </x:c>
      <x:c r="C28" s="9" t="str">
        <x:v>U2000 ADR4550</x:v>
      </x:c>
      <x:c r="D28" s="16" t="n">
        <x:v>5</x:v>
      </x:c>
      <x:c r="E28" s="16"/>
      <x:c r="F28" s="16" t="n">
        <x:v>0</x:v>
      </x:c>
      <x:c r="G28" s="16" t="str">
        <x:v>linear</x:v>
      </x:c>
      <x:c r="H28" s="15" t="n">
        <x:v>0.4166666666666667</x:v>
      </x:c>
      <x:c r="I28" s="25" t="n">
        <x:v>0</x:v>
      </x:c>
      <x:c r="J28" s="16" t="n">
        <x:f>SUMIFS('Нагрузки'!$D$6:$D$37,'Нагрузки'!$A$6:$A$37,A28)</x:f>
        <x:v>0.001</x:v>
      </x:c>
      <x:c r="K28" s="16" t="n">
        <x:f>SUMIFS('Нагрузки'!$E$6:$E$37,'Нагрузки'!$A$6:$A$37,A28)</x:f>
        <x:v>0.006500000000000001</x:v>
      </x:c>
      <x:c r="L28" s="16" t="n">
        <x:f>0</x:f>
        <x:v>0</x:v>
      </x:c>
      <x:c r="M28" s="16" t="n">
        <x:f>0</x:f>
        <x:v>0</x:v>
      </x:c>
      <x:c r="N28" s="16" t="n">
        <x:f>J28+L28</x:f>
        <x:v>0.001</x:v>
      </x:c>
      <x:c r="O28" s="16" t="n">
        <x:f>K28+M28</x:f>
        <x:v>0.006500000000000001</x:v>
      </x:c>
      <x:c r="P28" s="16" t="n">
        <x:f>N28+I28</x:f>
        <x:v>0.001</x:v>
      </x:c>
      <x:c r="Q28" s="16" t="n">
        <x:f>O28+I28</x:f>
        <x:v>0.006500000000000001</x:v>
      </x:c>
      <x:c r="R28" s="16" t="n">
        <x:f>ABS(D28)*O28</x:f>
        <x:v>0.0325</x:v>
      </x:c>
      <x:c r="S28" s="16" t="str">
        <x:f>"не определён"</x:f>
        <x:v>не определён</x:v>
      </x:c>
      <x:c r="T28" s="16"/>
      <x:c r="U28" s="16"/>
      <x:c r="V28" s="12" t="str">
        <x:v>Точность, шум и динамика опоры рассматриваются отдельно</x:v>
      </x:c>
      <x:c r="W28" s="12" t="str">
        <x:v>https://github.com/max-talanov/mira/tree/52f43869b6ed5019490eb40afbc84a4d607fd61e/hardware</x:v>
      </x:c>
      <x:c r="X28" s="12" t="str">
        <x:v>Control</x:v>
      </x:c>
      <x:c r="Y28" s="23" t="n">
        <x:f>ABS(D27)*Q28-R28</x:f>
        <x:v>0.04550000000000001</x:v>
      </x:c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</x:row>
  </x:sheetData>
  <x:conditionalFormatting sqref="S6:S28">
    <x:cfRule type="cellIs" dxfId="0" priority="1" operator="lessThan">
      <x:formula>0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637C9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7" hidden="0" customWidth="1"/>
    <x:col min="6" max="6" width="17" hidden="0" customWidth="1"/>
    <x:col min="7" max="7" width="22" hidden="0" customWidth="1"/>
    <x:col min="8" max="8" width="22" hidden="0" customWidth="1"/>
    <x:col min="9" max="9" width="18" hidden="0" customWidth="1"/>
    <x:col min="10" max="10" width="20" hidden="0" customWidth="1"/>
    <x:col min="11" max="11" width="20" hidden="0" customWidth="1"/>
    <x:col min="12" max="12" width="22" hidden="0" customWidth="1"/>
    <x:col min="13" max="13" width="23" hidden="0" customWidth="1"/>
    <x:col min="14" max="14" width="9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>
      <x:c r="A2" s="3" t="str">
        <x:v>Пусковые токи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>
      <x:c r="A3" s="4" t="str">
        <x:v>Icap = C × ΔV / Δt. Рампы и токи до конфигурации предварительные. Одновременный пуск дочерних шин — расчётная огибающая.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40" customHeight="1">
      <x:c r="A5" s="8" t="str">
        <x:v>Шина</x:v>
      </x:c>
      <x:c r="B5" s="8" t="str">
        <x:v>C Control, мкФ</x:v>
      </x:c>
      <x:c r="C5" s="8" t="str">
        <x:v>C Power, мкФ</x:v>
      </x:c>
      <x:c r="D5" s="8" t="str">
        <x:v>C всего, мкФ</x:v>
      </x:c>
      <x:c r="E5" s="8" t="str">
        <x:v>Множитель C</x:v>
      </x:c>
      <x:c r="F5" s="8" t="str">
        <x:v>Рампа, мс</x:v>
      </x:c>
      <x:c r="G5" s="8" t="str">
        <x:v>Нагрузка без C, А</x:v>
      </x:c>
      <x:c r="H5" s="8" t="str">
        <x:v>Дочерние входы, А</x:v>
      </x:c>
      <x:c r="I5" s="8" t="str">
        <x:v>Заряд C, А</x:v>
      </x:c>
      <x:c r="J5" s="8" t="str">
        <x:v>Пуск выхода, А</x:v>
      </x:c>
      <x:c r="K5" s="8" t="str">
        <x:v>Пуск входа, А</x:v>
      </x:c>
      <x:c r="L5" s="8" t="str">
        <x:v>Запас источника, А</x:v>
      </x:c>
      <x:c r="M5" s="8" t="str">
        <x:v>Пуск Control, все вводы, А</x:v>
      </x:c>
      <x:c r="N5" s="8" t="str">
        <x:v>Основание</x:v>
      </x:c>
    </x:row>
    <x:row r="6" ht="44" customHeight="1">
      <x:c r="A6" s="9" t="str">
        <x:v>AON</x:v>
      </x:c>
      <x:c r="B6" s="16" t="n">
        <x:v>0</x:v>
      </x:c>
      <x:c r="C6" s="16" t="n">
        <x:v>108.4</x:v>
      </x:c>
      <x:c r="D6" s="16" t="n">
        <x:f>B6+C6</x:f>
        <x:v>108.4</x:v>
      </x:c>
      <x:c r="E6" s="16" t="n">
        <x:f>'Вход'!$C$9</x:f>
        <x:v>1.2</x:v>
      </x:c>
      <x:c r="F6" s="14" t="n">
        <x:v>5</x:v>
      </x:c>
      <x:c r="G6" s="16" t="n">
        <x:f>SUMIFS('Нагрузки'!$F$6:$F$37,'Нагрузки'!$A$6:$A$37,A6)</x:f>
        <x:v>0.081</x:v>
      </x:c>
      <x:c r="H6" s="16" t="n">
        <x:f>K17</x:f>
        <x:v>0.000181</x:v>
      </x:c>
      <x:c r="I6" s="16" t="n">
        <x:f>D6*E6*ABS('Шины'!D6)/(1000*F6)</x:f>
        <x:v>0.08533248</x:v>
      </x:c>
      <x:c r="J6" s="16" t="n">
        <x:f>G6+H6+I6</x:f>
        <x:v>0.16651348</x:v>
      </x:c>
      <x:c r="K6" s="16" t="n">
        <x:f>ABS('Шины'!D6)*J6/('Вход'!$C$6*'Шины'!H6)+'Шины'!I6</x:f>
        <x:v>0.026797755607843136</x:v>
      </x:c>
      <x:c r="L6" s="16" t="n">
        <x:f>'Шины'!E6-J6</x:f>
        <x:v>0.83348652</x:v>
      </x:c>
      <x:c r="M6" s="16" t="n">
        <x:f>SUMIFS('Нагрузки'!$F$6:$F$37,'Нагрузки'!$A$6:$A$37,A6,'Нагрузки'!$B$6:$B$37,"Control")+0+B6*E6*ABS('Шины'!D6)/(1000*F6)</x:f>
        <x:v>0.001</x:v>
      </x:c>
      <x:c r="N6" s="12" t="str">
        <x:v>D19: 5 мс условно; действительную рампу и порядок EN подтвердить.</x:v>
      </x:c>
    </x:row>
    <x:row r="7" ht="44" customHeight="1">
      <x:c r="A7" s="2" t="str">
        <x:v>SYS3V3</x:v>
      </x:c>
      <x:c r="B7" s="17" t="n">
        <x:v>29.300000000000004</x:v>
      </x:c>
      <x:c r="C7" s="17" t="n">
        <x:v>283.2</x:v>
      </x:c>
      <x:c r="D7" s="17" t="n">
        <x:f>B7+C7</x:f>
        <x:v>312.5</x:v>
      </x:c>
      <x:c r="E7" s="17" t="n">
        <x:f>'Вход'!$C$9</x:f>
        <x:v>1.2</x:v>
      </x:c>
      <x:c r="F7" s="14" t="n">
        <x:v>5</x:v>
      </x:c>
      <x:c r="G7" s="17" t="n">
        <x:f>SUMIFS('Нагрузки'!$F$6:$F$37,'Нагрузки'!$A$6:$A$37,A7)</x:f>
        <x:v>0.15500000000000003</x:v>
      </x:c>
      <x:c r="H7" s="17" t="n">
        <x:f>0</x:f>
        <x:v>0</x:v>
      </x:c>
      <x:c r="I7" s="17" t="n">
        <x:f>D7*E7*ABS('Шины'!D7)/(1000*F7)</x:f>
        <x:v>0.24861111111111114</x:v>
      </x:c>
      <x:c r="J7" s="17" t="n">
        <x:f>G7+H7+I7</x:f>
        <x:v>0.40361111111111114</x:v>
      </x:c>
      <x:c r="K7" s="17" t="n">
        <x:f>ABS('Шины'!D7)*J7/('Вход'!$C$6*'Шины'!H7)+'Шины'!I7</x:f>
        <x:v>0.061954633821063865</x:v>
      </x:c>
      <x:c r="L7" s="17" t="n">
        <x:f>'Шины'!E7-J7</x:f>
        <x:v>4.596388888888889</x:v>
      </x:c>
      <x:c r="M7" s="17" t="n">
        <x:f>SUMIFS('Нагрузки'!$F$6:$F$37,'Нагрузки'!$A$6:$A$37,A7,'Нагрузки'!$B$6:$B$37,"Control")+0+B7*E7*ABS('Шины'!D7)/(1000*F7)</x:f>
        <x:v>0.1733097777777778</x:v>
      </x:c>
      <x:c r="N7" s="13" t="str">
        <x:v>D19: 5 мс условно; действительную рампу и порядок EN подтвердить.</x:v>
      </x:c>
    </x:row>
    <x:row r="8" ht="44" customHeight="1">
      <x:c r="A8" s="9" t="str">
        <x:v>USB5</x:v>
      </x:c>
      <x:c r="B8" s="16" t="n">
        <x:v>0.1</x:v>
      </x:c>
      <x:c r="C8" s="16" t="n">
        <x:v>94</x:v>
      </x:c>
      <x:c r="D8" s="16" t="n">
        <x:f>B8+C8</x:f>
        <x:v>94.1</x:v>
      </x:c>
      <x:c r="E8" s="16" t="n">
        <x:f>'Вход'!$C$9</x:f>
        <x:v>1.2</x:v>
      </x:c>
      <x:c r="F8" s="14" t="n">
        <x:v>5</x:v>
      </x:c>
      <x:c r="G8" s="16" t="n">
        <x:f>SUMIFS('Нагрузки'!$F$6:$F$37,'Нагрузки'!$A$6:$A$37,A8)</x:f>
        <x:v>0.02</x:v>
      </x:c>
      <x:c r="H8" s="16" t="n">
        <x:f>0</x:f>
        <x:v>0</x:v>
      </x:c>
      <x:c r="I8" s="16" t="n">
        <x:f>D8*E8*ABS('Шины'!D8)/(1000*F8)</x:f>
        <x:v>0.11291999999999998</x:v>
      </x:c>
      <x:c r="J8" s="16" t="n">
        <x:f>G8+H8+I8</x:f>
        <x:v>0.13291999999999998</x:v>
      </x:c>
      <x:c r="K8" s="16" t="n">
        <x:f>ABS('Шины'!D8)*J8/('Вход'!$C$6*'Шины'!H8)+'Шины'!I8</x:f>
        <x:v>0.032603431372549015</x:v>
      </x:c>
      <x:c r="L8" s="16" t="n">
        <x:f>'Шины'!E8-J8</x:f>
        <x:v>0.8670800000000001</x:v>
      </x:c>
      <x:c r="M8" s="16" t="n">
        <x:f>SUMIFS('Нагрузки'!$F$6:$F$37,'Нагрузки'!$A$6:$A$37,A8,'Нагрузки'!$B$6:$B$37,"Control")+0+B8*E8*ABS('Шины'!D8)/(1000*F8)</x:f>
        <x:v>0.02012</x:v>
      </x:c>
      <x:c r="N8" s="12" t="str">
        <x:v>D19: 5 мс условно; действительную рампу и порядок EN подтвердить.</x:v>
      </x:c>
    </x:row>
    <x:row r="9" ht="44" customHeight="1">
      <x:c r="A9" s="2" t="str">
        <x:v>FPGA5V5</x:v>
      </x:c>
      <x:c r="B9" s="17" t="n">
        <x:v>0</x:v>
      </x:c>
      <x:c r="C9" s="17" t="n">
        <x:v>427.6</x:v>
      </x:c>
      <x:c r="D9" s="17" t="n">
        <x:f>B9+C9</x:f>
        <x:v>427.6</x:v>
      </x:c>
      <x:c r="E9" s="17" t="n">
        <x:f>'Вход'!$C$9</x:f>
        <x:v>1.2</x:v>
      </x:c>
      <x:c r="F9" s="14" t="n">
        <x:v>5</x:v>
      </x:c>
      <x:c r="G9" s="17" t="n">
        <x:f>SUMIFS('Нагрузки'!$F$6:$F$37,'Нагрузки'!$A$6:$A$37,A9)</x:f>
        <x:v>0</x:v>
      </x:c>
      <x:c r="H9" s="17" t="n">
        <x:f>K10+K11+K12+K13+K14+K15</x:f>
        <x:v>1.1394844203251477</x:v>
      </x:c>
      <x:c r="I9" s="17" t="n">
        <x:f>D9*E9*ABS('Шины'!D9)/(1000*F9)</x:f>
        <x:v>0.5669859909502263</x:v>
      </x:c>
      <x:c r="J9" s="17" t="n">
        <x:f>G9+H9+I9</x:f>
        <x:v>1.7064704112753741</x:v>
      </x:c>
      <x:c r="K9" s="17" t="n">
        <x:f>ABS('Шины'!D9)*J9/('Вход'!$C$6*'Шины'!H9)+'Шины'!I9</x:f>
        <x:v>0.43649907327116466</x:v>
      </x:c>
      <x:c r="L9" s="17" t="n">
        <x:f>'Шины'!E9-J9</x:f>
        <x:v>3.293529588724626</x:v>
      </x:c>
      <x:c r="M9" s="17" t="n">
        <x:f>SUMIFS('Нагрузки'!$F$6:$F$37,'Нагрузки'!$A$6:$A$37,A9,'Нагрузки'!$B$6:$B$37,"Control")+0+B9*E9*ABS('Шины'!D9)/(1000*F9)</x:f>
        <x:v>0</x:v>
      </x:c>
      <x:c r="N9" s="13" t="str">
        <x:v>D19: 5 мс условно; действительную рампу и порядок EN подтвердить.</x:v>
      </x:c>
    </x:row>
    <x:row r="10" ht="44" customHeight="1">
      <x:c r="A10" s="9" t="str">
        <x:v>CORE1V0</x:v>
      </x:c>
      <x:c r="B10" s="16" t="n">
        <x:v>844.390000000001</x:v>
      </x:c>
      <x:c r="C10" s="16" t="n">
        <x:v>281.9999999999991</x:v>
      </x:c>
      <x:c r="D10" s="16" t="n">
        <x:f>B10+C10</x:f>
        <x:v>1126.39</x:v>
      </x:c>
      <x:c r="E10" s="16" t="n">
        <x:f>'Вход'!$C$9</x:f>
        <x:v>1.2</x:v>
      </x:c>
      <x:c r="F10" s="14" t="n">
        <x:v>2.2</x:v>
      </x:c>
      <x:c r="G10" s="16" t="n">
        <x:f>SUMIFS('Нагрузки'!$F$6:$F$37,'Нагрузки'!$A$6:$A$37,A10)</x:f>
        <x:v>1</x:v>
      </x:c>
      <x:c r="H10" s="16" t="n">
        <x:f>0</x:f>
        <x:v>0</x:v>
      </x:c>
      <x:c r="I10" s="16" t="n">
        <x:f>D10*E10*ABS('Шины'!D10)/(1000*F10)</x:f>
        <x:v>0.6414752044732813</x:v>
      </x:c>
      <x:c r="J10" s="16" t="n">
        <x:f>G10+H10+I10</x:f>
        <x:v>1.6414752044732812</x:v>
      </x:c>
      <x:c r="K10" s="16" t="n">
        <x:f>ABS('Шины'!D10)*J10/(ABS('Шины'!D9)*'Шины'!H10)+'Шины'!I10</x:f>
        <x:v>0.3531013518475344</x:v>
      </x:c>
      <x:c r="L10" s="16" t="n">
        <x:f>'Шины'!E10-J10</x:f>
        <x:v>6.358524795526719</x:v>
      </x:c>
      <x:c r="M10" s="16" t="n">
        <x:f>SUMIFS('Нагрузки'!$F$6:$F$37,'Нагрузки'!$A$6:$A$37,A10,'Нагрузки'!$B$6:$B$37,"Control")+0+B10*E10*ABS('Шины'!D10)/(1000*F10)</x:f>
        <x:v>1.480877180998761</x:v>
      </x:c>
      <x:c r="N10" s="12" t="str">
        <x:v>Схема: C1203=22 нФ, около 2,2 мс; FPGA до конфигурации.</x:v>
      </x:c>
    </x:row>
    <x:row r="11" ht="44" customHeight="1">
      <x:c r="A11" s="2" t="str">
        <x:v>AUX1V8</x:v>
      </x:c>
      <x:c r="B11" s="17" t="n">
        <x:v>63.45</x:v>
      </x:c>
      <x:c r="C11" s="17" t="n">
        <x:v>47</x:v>
      </x:c>
      <x:c r="D11" s="17" t="n">
        <x:f>B11+C11</x:f>
        <x:v>110.45</x:v>
      </x:c>
      <x:c r="E11" s="17" t="n">
        <x:f>'Вход'!$C$9</x:f>
        <x:v>1.2</x:v>
      </x:c>
      <x:c r="F11" s="14" t="n">
        <x:v>5</x:v>
      </x:c>
      <x:c r="G11" s="17" t="n">
        <x:f>SUMIFS('Нагрузки'!$F$6:$F$37,'Нагрузки'!$A$6:$A$37,A11)</x:f>
        <x:v>0.15</x:v>
      </x:c>
      <x:c r="H11" s="17" t="n">
        <x:f>0</x:f>
        <x:v>0</x:v>
      </x:c>
      <x:c r="I11" s="17" t="n">
        <x:f>D11*E11*ABS('Шины'!D11)/(1000*F11)</x:f>
        <x:v>0.0477144</x:v>
      </x:c>
      <x:c r="J11" s="17" t="n">
        <x:f>G11+H11+I11</x:f>
        <x:v>0.19771439999999998</x:v>
      </x:c>
      <x:c r="K11" s="17" t="n">
        <x:f>ABS('Шины'!D11)*J11/(ABS('Шины'!D9)*'Шины'!H11)+'Шины'!I11</x:f>
        <x:v>0.07321593187402278</x:v>
      </x:c>
      <x:c r="L11" s="17" t="n">
        <x:f>'Шины'!E11-J11</x:f>
        <x:v>2.8022856</x:v>
      </x:c>
      <x:c r="M11" s="17" t="n">
        <x:f>SUMIFS('Нагрузки'!$F$6:$F$37,'Нагрузки'!$A$6:$A$37,A11,'Нагрузки'!$B$6:$B$37,"Control")+0+B11*E11*ABS('Шины'!D11)/(1000*F11)</x:f>
        <x:v>0.1774104</x:v>
      </x:c>
      <x:c r="N11" s="13" t="str">
        <x:v>Схема: SS/TR=10 нФ, около 5 мс; подтвердить допуск и нагрузку.</x:v>
      </x:c>
    </x:row>
    <x:row r="12" ht="44" customHeight="1">
      <x:c r="A12" s="9" t="str">
        <x:v>AUX2V5</x:v>
      </x:c>
      <x:c r="B12" s="16" t="n">
        <x:v>0</x:v>
      </x:c>
      <x:c r="C12" s="16" t="n">
        <x:v>47</x:v>
      </x:c>
      <x:c r="D12" s="16" t="n">
        <x:f>B12+C12</x:f>
        <x:v>47</x:v>
      </x:c>
      <x:c r="E12" s="16" t="n">
        <x:f>'Вход'!$C$9</x:f>
        <x:v>1.2</x:v>
      </x:c>
      <x:c r="F12" s="14" t="n">
        <x:v>5</x:v>
      </x:c>
      <x:c r="G12" s="16" t="n">
        <x:f>SUMIFS('Нагрузки'!$F$6:$F$37,'Нагрузки'!$A$6:$A$37,A12)</x:f>
        <x:v>0</x:v>
      </x:c>
      <x:c r="H12" s="16" t="n">
        <x:f>0</x:f>
        <x:v>0</x:v>
      </x:c>
      <x:c r="I12" s="16" t="n">
        <x:f>D12*E12*ABS('Шины'!D12)/(1000*F12)</x:f>
        <x:v>0.0282</x:v>
      </x:c>
      <x:c r="J12" s="16" t="n">
        <x:f>G12+H12+I12</x:f>
        <x:v>0.0282</x:v>
      </x:c>
      <x:c r="K12" s="16" t="n">
        <x:f>ABS('Шины'!D12)*J12/(ABS('Шины'!D9)*'Шины'!H12)+'Шины'!I12</x:f>
        <x:v>0.014517502568684386</x:v>
      </x:c>
      <x:c r="L12" s="16" t="n">
        <x:f>'Шины'!E12-J12</x:f>
        <x:v>2.9718</x:v>
      </x:c>
      <x:c r="M12" s="16" t="n">
        <x:f>SUMIFS('Нагрузки'!$F$6:$F$37,'Нагрузки'!$A$6:$A$37,A12,'Нагрузки'!$B$6:$B$37,"Control")+0+B12*E12*ABS('Шины'!D12)/(1000*F12)</x:f>
        <x:v>0</x:v>
      </x:c>
      <x:c r="N12" s="12" t="str">
        <x:v>Схема: SS/TR=10 нФ, около 5 мс; подтвердить допуск и нагрузку.</x:v>
      </x:c>
    </x:row>
    <x:row r="13" ht="44" customHeight="1">
      <x:c r="A13" s="2" t="str">
        <x:v>IO3V3</x:v>
      </x:c>
      <x:c r="B13" s="17" t="n">
        <x:v>404.11000000000206</x:v>
      </x:c>
      <x:c r="C13" s="17" t="n">
        <x:v>46.999999999997954</x:v>
      </x:c>
      <x:c r="D13" s="17" t="n">
        <x:f>B13+C13</x:f>
        <x:v>451.11</x:v>
      </x:c>
      <x:c r="E13" s="17" t="n">
        <x:f>'Вход'!$C$9</x:f>
        <x:v>1.2</x:v>
      </x:c>
      <x:c r="F13" s="14" t="n">
        <x:v>5</x:v>
      </x:c>
      <x:c r="G13" s="17" t="n">
        <x:f>SUMIFS('Нагрузки'!$F$6:$F$37,'Нагрузки'!$A$6:$A$37,A13)</x:f>
        <x:v>0.41500000000000004</x:v>
      </x:c>
      <x:c r="H13" s="17" t="n">
        <x:f>K25</x:f>
        <x:v>0.14117000000000002</x:v>
      </x:c>
      <x:c r="I13" s="17" t="n">
        <x:f>D13*E13*ABS('Шины'!D13)/(1000*F13)</x:f>
        <x:v>0.356737788</x:v>
      </x:c>
      <x:c r="J13" s="17" t="n">
        <x:f>G13+H13+I13</x:f>
        <x:v>0.912907788</x:v>
      </x:c>
      <x:c r="K13" s="17" t="n">
        <x:f>ABS('Шины'!D13)*J13/(ABS('Шины'!D9)*'Шины'!H13)+'Шины'!I13</x:f>
        <x:v>0.6049627518269725</x:v>
      </x:c>
      <x:c r="L13" s="17" t="n">
        <x:f>'Шины'!E13-J13</x:f>
        <x:v>2.087092212</x:v>
      </x:c>
      <x:c r="M13" s="17" t="n">
        <x:f>SUMIFS('Нагрузки'!$F$6:$F$37,'Нагрузки'!$A$6:$A$37,A13,'Нагрузки'!$B$6:$B$37,"Control")+K25+B13*E13*ABS('Шины'!D13)/(1000*F13)</x:f>
        <x:v>0.8757401880000016</x:v>
      </x:c>
      <x:c r="N13" s="13" t="str">
        <x:v>Схема: SS/TR=10 нФ, около 5 мс; подтвердить допуск и нагрузку.</x:v>
      </x:c>
    </x:row>
    <x:row r="14" ht="44" customHeight="1">
      <x:c r="A14" s="9" t="str">
        <x:v>DDR1V35</x:v>
      </x:c>
      <x:c r="B14" s="16" t="n">
        <x:v>140.91999999999987</x:v>
      </x:c>
      <x:c r="C14" s="16" t="n">
        <x:v>57.00000000000014</x:v>
      </x:c>
      <x:c r="D14" s="16" t="n">
        <x:f>B14+C14</x:f>
        <x:v>197.92000000000002</x:v>
      </x:c>
      <x:c r="E14" s="16" t="n">
        <x:f>'Вход'!$C$9</x:f>
        <x:v>1.2</x:v>
      </x:c>
      <x:c r="F14" s="14" t="n">
        <x:v>5</x:v>
      </x:c>
      <x:c r="G14" s="16" t="n">
        <x:f>SUMIFS('Нагрузки'!$F$6:$F$37,'Нагрузки'!$A$6:$A$37,A14)</x:f>
        <x:v>0.15</x:v>
      </x:c>
      <x:c r="H14" s="16" t="n">
        <x:f>K16</x:f>
        <x:v>0.02486</x:v>
      </x:c>
      <x:c r="I14" s="16" t="n">
        <x:f>D14*E14*ABS('Шины'!D14)/(1000*F14)</x:f>
        <x:v>0.06412608000000002</x:v>
      </x:c>
      <x:c r="J14" s="16" t="n">
        <x:f>G14+H14+I14</x:f>
        <x:v>0.23898608</x:v>
      </x:c>
      <x:c r="K14" s="16" t="n">
        <x:f>ABS('Шины'!D14)*J14/(ABS('Шины'!D9)*'Шины'!H14)+'Шины'!I14</x:f>
        <x:v>0.06637607319633684</x:v>
      </x:c>
      <x:c r="L14" s="16" t="n">
        <x:f>'Шины'!E14-J14</x:f>
        <x:v>2.76101392</x:v>
      </x:c>
      <x:c r="M14" s="16" t="n">
        <x:f>SUMIFS('Нагрузки'!$F$6:$F$37,'Нагрузки'!$A$6:$A$37,A14,'Нагрузки'!$B$6:$B$37,"Control")+0+B14*E14*ABS('Шины'!D14)/(1000*F14)</x:f>
        <x:v>0.19565807999999996</x:v>
      </x:c>
      <x:c r="N14" s="12" t="str">
        <x:v>Схема: SS/TR=10 нФ, около 5 мс; подтвердить допуск и нагрузку.</x:v>
      </x:c>
    </x:row>
    <x:row r="15" ht="44" customHeight="1">
      <x:c r="A15" s="2" t="str">
        <x:v>PHY1V05</x:v>
      </x:c>
      <x:c r="B15" s="17" t="n">
        <x:v>9.1</x:v>
      </x:c>
      <x:c r="C15" s="17" t="n">
        <x:v>47</x:v>
      </x:c>
      <x:c r="D15" s="17" t="n">
        <x:f>B15+C15</x:f>
        <x:v>56.1</x:v>
      </x:c>
      <x:c r="E15" s="17" t="n">
        <x:f>'Вход'!$C$9</x:f>
        <x:v>1.2</x:v>
      </x:c>
      <x:c r="F15" s="14" t="n">
        <x:v>5</x:v>
      </x:c>
      <x:c r="G15" s="17" t="n">
        <x:f>SUMIFS('Нагрузки'!$F$6:$F$37,'Нагрузки'!$A$6:$A$37,A15)</x:f>
        <x:v>0.108</x:v>
      </x:c>
      <x:c r="H15" s="17" t="n">
        <x:f>0</x:f>
        <x:v>0</x:v>
      </x:c>
      <x:c r="I15" s="17" t="n">
        <x:f>D15*E15*ABS('Шины'!D15)/(1000*F15)</x:f>
        <x:v>0.014130467999999998</x:v>
      </x:c>
      <x:c r="J15" s="17" t="n">
        <x:f>G15+H15+I15</x:f>
        <x:v>0.12213046799999999</x:v>
      </x:c>
      <x:c r="K15" s="17" t="n">
        <x:f>ABS('Шины'!D15)*J15/(ABS('Шины'!D9)*'Шины'!H15)+'Шины'!I15</x:f>
        <x:v>0.027310809011597055</x:v>
      </x:c>
      <x:c r="L15" s="17" t="n">
        <x:f>'Шины'!E15-J15</x:f>
        <x:v>2.877869532</x:v>
      </x:c>
      <x:c r="M15" s="17" t="n">
        <x:f>SUMIFS('Нагрузки'!$F$6:$F$37,'Нагрузки'!$A$6:$A$37,A15,'Нагрузки'!$B$6:$B$37,"Control")+0+B15*E15*ABS('Шины'!D15)/(1000*F15)</x:f>
        <x:v>0.110292108</x:v>
      </x:c>
      <x:c r="N15" s="13" t="str">
        <x:v>Схема: SS/TR=10 нФ, около 5 мс; подтвердить допуск и нагрузку.</x:v>
      </x:c>
    </x:row>
    <x:row r="16" ht="44" customHeight="1">
      <x:c r="A16" s="9" t="str">
        <x:v>VTT</x:v>
      </x:c>
      <x:c r="B16" s="16" t="n">
        <x:v>0</x:v>
      </x:c>
      <x:c r="C16" s="16" t="n">
        <x:v>30</x:v>
      </x:c>
      <x:c r="D16" s="16" t="n">
        <x:f>B16+C16</x:f>
        <x:v>30</x:v>
      </x:c>
      <x:c r="E16" s="16" t="n">
        <x:f>'Вход'!$C$9</x:f>
        <x:v>1.2</x:v>
      </x:c>
      <x:c r="F16" s="14" t="n">
        <x:v>5</x:v>
      </x:c>
      <x:c r="G16" s="16" t="n">
        <x:f>SUMIFS('Нагрузки'!$F$6:$F$37,'Нагрузки'!$A$6:$A$37,A16)</x:f>
        <x:v>0.02</x:v>
      </x:c>
      <x:c r="H16" s="16" t="n">
        <x:f>0</x:f>
        <x:v>0</x:v>
      </x:c>
      <x:c r="I16" s="16" t="n">
        <x:f>D16*E16*ABS('Шины'!D16)/(1000*F16)</x:f>
        <x:v>0.00486</x:v>
      </x:c>
      <x:c r="J16" s="16" t="n">
        <x:f>G16+H16+I16</x:f>
        <x:v>0.02486</x:v>
      </x:c>
      <x:c r="K16" s="16" t="n">
        <x:f>J16+'Шины'!I16</x:f>
        <x:v>0.02486</x:v>
      </x:c>
      <x:c r="L16" s="16" t="n">
        <x:f>'Шины'!E16-J16</x:f>
        <x:v>2.97514</x:v>
      </x:c>
      <x:c r="M16" s="16" t="n">
        <x:f>SUMIFS('Нагрузки'!$F$6:$F$37,'Нагрузки'!$A$6:$A$37,A16,'Нагрузки'!$B$6:$B$37,"Control")+0+B16*E16*ABS('Шины'!D16)/(1000*F16)</x:f>
        <x:v>0.02</x:v>
      </x:c>
      <x:c r="N16" s="12" t="str">
        <x:v>D19: 5 мс условно; действительную рампу и порядок EN подтвердить.</x:v>
      </x:c>
    </x:row>
    <x:row r="17" ht="44" customHeight="1">
      <x:c r="A17" s="2" t="str">
        <x:v>DDR_VREF</x:v>
      </x:c>
      <x:c r="B17" s="17" t="n">
        <x:v>0.4</x:v>
      </x:c>
      <x:c r="C17" s="17" t="n">
        <x:v>0.09999999999999998</x:v>
      </x:c>
      <x:c r="D17" s="17" t="n">
        <x:f>B17+C17</x:f>
        <x:v>0.5</x:v>
      </x:c>
      <x:c r="E17" s="17" t="n">
        <x:f>'Вход'!$C$9</x:f>
        <x:v>1.2</x:v>
      </x:c>
      <x:c r="F17" s="14" t="n">
        <x:v>5</x:v>
      </x:c>
      <x:c r="G17" s="17" t="n">
        <x:f>SUMIFS('Нагрузки'!$F$6:$F$37,'Нагрузки'!$A$6:$A$37,A17)</x:f>
        <x:v>0.0001</x:v>
      </x:c>
      <x:c r="H17" s="17" t="n">
        <x:f>0</x:f>
        <x:v>0</x:v>
      </x:c>
      <x:c r="I17" s="17" t="n">
        <x:f>D17*E17*ABS('Шины'!D17)/(1000*F17)</x:f>
        <x:v>0.000081</x:v>
      </x:c>
      <x:c r="J17" s="17" t="n">
        <x:f>G17+H17+I17</x:f>
        <x:v>0.000181</x:v>
      </x:c>
      <x:c r="K17" s="17" t="n">
        <x:f>J17+'Шины'!I17</x:f>
        <x:v>0.000181</x:v>
      </x:c>
      <x:c r="L17" s="17" t="str">
        <x:f>"не определён"</x:f>
        <x:v>не определён</x:v>
      </x:c>
      <x:c r="M17" s="17" t="n">
        <x:f>SUMIFS('Нагрузки'!$F$6:$F$37,'Нагрузки'!$A$6:$A$37,A17,'Нагрузки'!$B$6:$B$37,"Control")+0+B17*E17*ABS('Шины'!D17)/(1000*F17)</x:f>
        <x:v>0.0001648</x:v>
      </x:c>
      <x:c r="N17" s="13" t="str">
        <x:v>D19: 5 мс условно; действительную рампу и порядок EN подтвердить.</x:v>
      </x:c>
    </x:row>
    <x:row r="18" ht="44" customHeight="1">
      <x:c r="A18" s="9" t="str">
        <x:v>ANA6</x:v>
      </x:c>
      <x:c r="B18" s="16" t="n">
        <x:v>0</x:v>
      </x:c>
      <x:c r="C18" s="16" t="n">
        <x:v>141</x:v>
      </x:c>
      <x:c r="D18" s="16" t="n">
        <x:f>B18+C18</x:f>
        <x:v>141</x:v>
      </x:c>
      <x:c r="E18" s="16" t="n">
        <x:f>'Вход'!$C$9</x:f>
        <x:v>1.2</x:v>
      </x:c>
      <x:c r="F18" s="14" t="n">
        <x:v>5</x:v>
      </x:c>
      <x:c r="G18" s="16" t="n">
        <x:f>SUMIFS('Нагрузки'!$F$6:$F$37,'Нагрузки'!$A$6:$A$37,A18)</x:f>
        <x:v>0</x:v>
      </x:c>
      <x:c r="H18" s="16" t="n">
        <x:f>K19</x:f>
        <x:v>0.14215073846153845</x:v>
      </x:c>
      <x:c r="I18" s="16" t="n">
        <x:f>D18*E18*ABS('Шины'!D18)/(1000*F18)</x:f>
        <x:v>0.20304</x:v>
      </x:c>
      <x:c r="J18" s="16" t="n">
        <x:f>G18+H18+I18</x:f>
        <x:v>0.34519073846153847</x:v>
      </x:c>
      <x:c r="K18" s="16" t="n">
        <x:f>ABS('Шины'!D18)*J18/('Вход'!$C$6*'Шины'!H18)+'Шины'!I18</x:f>
        <x:v>0.10155168778280543</x:v>
      </x:c>
      <x:c r="L18" s="16" t="n">
        <x:f>'Шины'!E18-J18</x:f>
        <x:v>0.6548092615384615</x:v>
      </x:c>
      <x:c r="M18" s="16" t="n">
        <x:f>SUMIFS('Нагрузки'!$F$6:$F$37,'Нагрузки'!$A$6:$A$37,A18,'Нагрузки'!$B$6:$B$37,"Control")+0+B18*E18*ABS('Шины'!D18)/(1000*F18)</x:f>
        <x:v>0</x:v>
      </x:c>
      <x:c r="N18" s="12" t="str">
        <x:v>D19: 5 мс условно; действительную рампу и порядок EN подтвердить.</x:v>
      </x:c>
    </x:row>
    <x:row r="19" ht="44" customHeight="1">
      <x:c r="A19" s="2" t="str">
        <x:v>ANA5</x:v>
      </x:c>
      <x:c r="B19" s="17" t="n">
        <x:v>51.70000000000001</x:v>
      </x:c>
      <x:c r="C19" s="17" t="n">
        <x:v>93.99999999999997</x:v>
      </x:c>
      <x:c r="D19" s="17" t="n">
        <x:f>B19+C19</x:f>
        <x:v>145.7</x:v>
      </x:c>
      <x:c r="E19" s="17" t="n">
        <x:f>'Вход'!$C$9</x:f>
        <x:v>1.2</x:v>
      </x:c>
      <x:c r="F19" s="14" t="n">
        <x:v>13</x:v>
      </x:c>
      <x:c r="G19" s="17" t="n">
        <x:f>SUMIFS('Нагрузки'!$F$6:$F$37,'Нагрузки'!$A$6:$A$37,A19)</x:f>
        <x:v>0.04</x:v>
      </x:c>
      <x:c r="H19" s="17" t="n">
        <x:f>K20</x:f>
        <x:v>0.030504584615384613</x:v>
      </x:c>
      <x:c r="I19" s="17" t="n">
        <x:f>D19*E19*ABS('Шины'!D19)/(1000*F19)</x:f>
        <x:v>0.06724615384615383</x:v>
      </x:c>
      <x:c r="J19" s="17" t="n">
        <x:f>G19+H19+I19</x:f>
        <x:v>0.13775073846153846</x:v>
      </x:c>
      <x:c r="K19" s="17" t="n">
        <x:f>J19+'Шины'!I19</x:f>
        <x:v>0.14215073846153845</x:v>
      </x:c>
      <x:c r="L19" s="17" t="n">
        <x:f>'Шины'!E19-J19</x:f>
        <x:v>0.8622492615384616</x:v>
      </x:c>
      <x:c r="M19" s="17" t="n">
        <x:f>SUMIFS('Нагрузки'!$F$6:$F$37,'Нагрузки'!$A$6:$A$37,A19,'Нагрузки'!$B$6:$B$37,"Control")+0+B19*E19*ABS('Шины'!D19)/(1000*F19)</x:f>
        <x:v>0.06386153846153847</x:v>
      </x:c>
      <x:c r="N19" s="13" t="str">
        <x:v>Схема: около 13 мс; проверить фактический запуск.</x:v>
      </x:c>
    </x:row>
    <x:row r="20" ht="44" customHeight="1">
      <x:c r="A20" s="9" t="str">
        <x:v>ANA3V3</x:v>
      </x:c>
      <x:c r="B20" s="16" t="n">
        <x:v>1</x:v>
      </x:c>
      <x:c r="C20" s="16" t="n">
        <x:v>47</x:v>
      </x:c>
      <x:c r="D20" s="16" t="n">
        <x:f>B20+C20</x:f>
        <x:v>48</x:v>
      </x:c>
      <x:c r="E20" s="16" t="n">
        <x:f>'Вход'!$C$9</x:f>
        <x:v>1.2</x:v>
      </x:c>
      <x:c r="F20" s="14" t="n">
        <x:v>13</x:v>
      </x:c>
      <x:c r="G20" s="16" t="n">
        <x:f>SUMIFS('Нагрузки'!$F$6:$F$37,'Нагрузки'!$A$6:$A$37,A20)</x:f>
        <x:v>0.001</x:v>
      </x:c>
      <x:c r="H20" s="16" t="n">
        <x:f>K26</x:f>
        <x:v>0.010505200000000001</x:v>
      </x:c>
      <x:c r="I20" s="16" t="n">
        <x:f>D20*E20*ABS('Шины'!D20)/(1000*F20)</x:f>
        <x:v>0.014599384615384613</x:v>
      </x:c>
      <x:c r="J20" s="16" t="n">
        <x:f>G20+H20+I20</x:f>
        <x:v>0.02610458461538461</x:v>
      </x:c>
      <x:c r="K20" s="16" t="n">
        <x:f>J20+'Шины'!I20</x:f>
        <x:v>0.030504584615384613</x:v>
      </x:c>
      <x:c r="L20" s="16" t="n">
        <x:f>'Шины'!E20-J20</x:f>
        <x:v>0.9738954153846154</x:v>
      </x:c>
      <x:c r="M20" s="16" t="n">
        <x:f>SUMIFS('Нагрузки'!$F$6:$F$37,'Нагрузки'!$A$6:$A$37,A20,'Нагрузки'!$B$6:$B$37,"Control")+K26+B20*E20*ABS('Шины'!D20)/(1000*F20)</x:f>
        <x:v>0.010809353846153847</x:v>
      </x:c>
      <x:c r="N20" s="12" t="str">
        <x:v>Схема: около 13 мс; проверить фактический запуск.</x:v>
      </x:c>
    </x:row>
    <x:row r="21" ht="44" customHeight="1">
      <x:c r="A21" s="2" t="str">
        <x:v>P15</x:v>
      </x:c>
      <x:c r="B21" s="17" t="n">
        <x:v>62.90000000000008</x:v>
      </x:c>
      <x:c r="C21" s="17" t="n">
        <x:v>44.09999999999992</x:v>
      </x:c>
      <x:c r="D21" s="17" t="n">
        <x:f>B21+C21</x:f>
        <x:v>107</x:v>
      </x:c>
      <x:c r="E21" s="17" t="n">
        <x:f>'Вход'!$C$9</x:f>
        <x:v>1.2</x:v>
      </x:c>
      <x:c r="F21" s="14" t="n">
        <x:v>5</x:v>
      </x:c>
      <x:c r="G21" s="17" t="n">
        <x:f>SUMIFS('Нагрузки'!$F$6:$F$37,'Нагрузки'!$A$6:$A$37,A21)</x:f>
        <x:v>0.10500000000000001</x:v>
      </x:c>
      <x:c r="H21" s="17" t="n">
        <x:f>K23+K27</x:f>
        <x:v>0.09954583529411763</x:v>
      </x:c>
      <x:c r="I21" s="17" t="n">
        <x:f>D21*E21*ABS('Шины'!D21)/(1000*F21)</x:f>
        <x:v>0.3849443619909502</x:v>
      </x:c>
      <x:c r="J21" s="17" t="n">
        <x:f>G21+H21+I21</x:f>
        <x:v>0.5894901972850679</x:v>
      </x:c>
      <x:c r="K21" s="17" t="n">
        <x:f>ABS('Шины'!D21)*J21/('Вход'!$C$6*'Шины'!H21)+'Шины'!I21</x:f>
        <x:v>0.43318601622881137</x:v>
      </x:c>
      <x:c r="L21" s="17" t="n">
        <x:f>'Шины'!E21-J21</x:f>
        <x:v>0.4105098027149321</x:v>
      </x:c>
      <x:c r="M21" s="17" t="n">
        <x:f>SUMIFS('Нагрузки'!$F$6:$F$37,'Нагрузки'!$A$6:$A$37,A21,'Нагрузки'!$B$6:$B$37,"Control")+K27+B21*E21*ABS('Шины'!D21)/(1000*F21)</x:f>
        <x:v>0.3643897230769233</x:v>
      </x:c>
      <x:c r="N21" s="13" t="str">
        <x:v>D19: 5 мс условно; действительную рампу и порядок EN подтвердить.</x:v>
      </x:c>
    </x:row>
    <x:row r="22" ht="44" customHeight="1">
      <x:c r="A22" s="9" t="str">
        <x:v>N15</x:v>
      </x:c>
      <x:c r="B22" s="16" t="n">
        <x:v>57.90000000000008</x:v>
      </x:c>
      <x:c r="C22" s="16" t="n">
        <x:v>66.09999999999992</x:v>
      </x:c>
      <x:c r="D22" s="16" t="n">
        <x:f>B22+C22</x:f>
        <x:v>124</x:v>
      </x:c>
      <x:c r="E22" s="16" t="n">
        <x:f>'Вход'!$C$9</x:f>
        <x:v>1.2</x:v>
      </x:c>
      <x:c r="F22" s="14" t="n">
        <x:v>5</x:v>
      </x:c>
      <x:c r="G22" s="16" t="n">
        <x:f>SUMIFS('Нагрузки'!$F$6:$F$37,'Нагрузки'!$A$6:$A$37,A22)</x:f>
        <x:v>0.10500000000000001</x:v>
      </x:c>
      <x:c r="H22" s="16" t="n">
        <x:f>K24</x:f>
        <x:v>0.06648</x:v>
      </x:c>
      <x:c r="I22" s="16" t="n">
        <x:f>D22*E22*ABS('Шины'!D22)/(1000*F22)</x:f>
        <x:v>0.4463999999999999</x:v>
      </x:c>
      <x:c r="J22" s="16" t="n">
        <x:f>G22+H22+I22</x:f>
        <x:v>0.61788</x:v>
      </x:c>
      <x:c r="K22" s="16" t="n">
        <x:f>ABS('Шины'!D22)*J22/('Вход'!$C$6*'Шины'!H22)+'Шины'!I22</x:f>
        <x:v>0.5127187499999999</x:v>
      </x:c>
      <x:c r="L22" s="16" t="n">
        <x:f>'Шины'!E22-J22</x:f>
        <x:v>1.38212</x:v>
      </x:c>
      <x:c r="M22" s="16" t="n">
        <x:f>SUMIFS('Нагрузки'!$F$6:$F$37,'Нагрузки'!$A$6:$A$37,A22,'Нагрузки'!$B$6:$B$37,"Control")+0+B22*E22*ABS('Шины'!D22)/(1000*F22)</x:f>
        <x:v>0.3134400000000003</x:v>
      </x:c>
      <x:c r="N22" s="12" t="str">
        <x:v>5 мс — условный сценарий, не характеристика TEN 30WIN. Сравнить с OCP и проверить фактический пуск.</x:v>
      </x:c>
    </x:row>
    <x:row r="23" ht="44" customHeight="1">
      <x:c r="A23" s="2" t="str">
        <x:v>PROG_P15</x:v>
      </x:c>
      <x:c r="B23" s="17" t="n">
        <x:v>9.6</x:v>
      </x:c>
      <x:c r="C23" s="17" t="n">
        <x:v>4.700000000000001</x:v>
      </x:c>
      <x:c r="D23" s="17" t="n">
        <x:f>B23+C23</x:f>
        <x:v>14.3</x:v>
      </x:c>
      <x:c r="E23" s="17" t="n">
        <x:f>'Вход'!$C$9</x:f>
        <x:v>1.2</x:v>
      </x:c>
      <x:c r="F23" s="14" t="n">
        <x:v>5</x:v>
      </x:c>
      <x:c r="G23" s="17" t="n">
        <x:f>SUMIFS('Нагрузки'!$F$6:$F$37,'Нагрузки'!$A$6:$A$37,A23)</x:f>
        <x:v>0.015</x:v>
      </x:c>
      <x:c r="H23" s="17" t="n">
        <x:f>0</x:f>
        <x:v>0</x:v>
      </x:c>
      <x:c r="I23" s="17" t="n">
        <x:f>D23*E23*ABS('Шины'!D23)/(1000*F23)</x:f>
        <x:v>0.051445835294117635</x:v>
      </x:c>
      <x:c r="J23" s="17" t="n">
        <x:f>G23+H23+I23</x:f>
        <x:v>0.06644583529411763</x:v>
      </x:c>
      <x:c r="K23" s="17" t="n">
        <x:f>J23+'Шины'!I23</x:f>
        <x:v>0.06644583529411763</x:v>
      </x:c>
      <x:c r="L23" s="17" t="str">
        <x:f>"не определён"</x:f>
        <x:v>не определён</x:v>
      </x:c>
      <x:c r="M23" s="17" t="n">
        <x:f>SUMIFS('Нагрузки'!$F$6:$F$37,'Нагрузки'!$A$6:$A$37,A23,'Нагрузки'!$B$6:$B$37,"Control")+0+B23*E23*ABS('Шины'!D23)/(1000*F23)</x:f>
        <x:v>0.04953706425339366</x:v>
      </x:c>
      <x:c r="N23" s="13" t="str">
        <x:v>D19: 5 мс условно; действительную рампу и порядок EN подтвердить.</x:v>
      </x:c>
    </x:row>
    <x:row r="24" ht="44" customHeight="1">
      <x:c r="A24" s="9" t="str">
        <x:v>PROG_N15</x:v>
      </x:c>
      <x:c r="B24" s="16" t="n">
        <x:v>9.6</x:v>
      </x:c>
      <x:c r="C24" s="16" t="n">
        <x:v>4.700000000000001</x:v>
      </x:c>
      <x:c r="D24" s="16" t="n">
        <x:f>B24+C24</x:f>
        <x:v>14.3</x:v>
      </x:c>
      <x:c r="E24" s="16" t="n">
        <x:f>'Вход'!$C$9</x:f>
        <x:v>1.2</x:v>
      </x:c>
      <x:c r="F24" s="14" t="n">
        <x:v>5</x:v>
      </x:c>
      <x:c r="G24" s="16" t="n">
        <x:f>SUMIFS('Нагрузки'!$F$6:$F$37,'Нагрузки'!$A$6:$A$37,A24)</x:f>
        <x:v>0.015</x:v>
      </x:c>
      <x:c r="H24" s="16" t="n">
        <x:f>0</x:f>
        <x:v>0</x:v>
      </x:c>
      <x:c r="I24" s="16" t="n">
        <x:f>D24*E24*ABS('Шины'!D24)/(1000*F24)</x:f>
        <x:v>0.05148</x:v>
      </x:c>
      <x:c r="J24" s="16" t="n">
        <x:f>G24+H24+I24</x:f>
        <x:v>0.06648</x:v>
      </x:c>
      <x:c r="K24" s="16" t="n">
        <x:f>J24+'Шины'!I24</x:f>
        <x:v>0.06648</x:v>
      </x:c>
      <x:c r="L24" s="16" t="str">
        <x:f>"не определён"</x:f>
        <x:v>не определён</x:v>
      </x:c>
      <x:c r="M24" s="16" t="n">
        <x:f>SUMIFS('Нагрузки'!$F$6:$F$37,'Нагрузки'!$A$6:$A$37,A24,'Нагрузки'!$B$6:$B$37,"Control")+0+B24*E24*ABS('Шины'!D24)/(1000*F24)</x:f>
        <x:v>0.04955999999999999</x:v>
      </x:c>
      <x:c r="N24" s="12" t="str">
        <x:v>Условная рампа и одновременный пуск. Порядок CMD_N15 и PROG_N15 ещё проверить.</x:v>
      </x:c>
    </x:row>
    <x:row r="25" ht="44" customHeight="1">
      <x:c r="A25" s="2" t="str">
        <x:v>PHY2V5</x:v>
      </x:c>
      <x:c r="B25" s="17" t="n">
        <x:v>6.8999999999999995</x:v>
      </x:c>
      <x:c r="C25" s="17" t="n">
        <x:v>8.881784197001252e-16</x:v>
      </x:c>
      <x:c r="D25" s="17" t="n">
        <x:f>B25+C25</x:f>
        <x:v>6.9</x:v>
      </x:c>
      <x:c r="E25" s="17" t="n">
        <x:f>'Вход'!$C$9</x:f>
        <x:v>1.2</x:v>
      </x:c>
      <x:c r="F25" s="14" t="n">
        <x:v>5</x:v>
      </x:c>
      <x:c r="G25" s="17" t="n">
        <x:f>SUMIFS('Нагрузки'!$F$6:$F$37,'Нагрузки'!$A$6:$A$37,A25)</x:f>
        <x:v>0.137</x:v>
      </x:c>
      <x:c r="H25" s="17" t="n">
        <x:f>0</x:f>
        <x:v>0</x:v>
      </x:c>
      <x:c r="I25" s="17" t="n">
        <x:f>D25*E25*ABS('Шины'!D25)/(1000*F25)</x:f>
        <x:v>0.00414</x:v>
      </x:c>
      <x:c r="J25" s="17" t="n">
        <x:f>G25+H25+I25</x:f>
        <x:v>0.14114000000000002</x:v>
      </x:c>
      <x:c r="K25" s="17" t="n">
        <x:f>J25+'Шины'!I25</x:f>
        <x:v>0.14117000000000002</x:v>
      </x:c>
      <x:c r="L25" s="17" t="n">
        <x:f>'Шины'!E25-J25</x:f>
        <x:v>0.35885999999999996</x:v>
      </x:c>
      <x:c r="M25" s="17" t="n">
        <x:f>SUMIFS('Нагрузки'!$F$6:$F$37,'Нагрузки'!$A$6:$A$37,A25,'Нагрузки'!$B$6:$B$37,"Control")+0+B25*E25*ABS('Шины'!D25)/(1000*F25)</x:f>
        <x:v>0.14114000000000002</x:v>
      </x:c>
      <x:c r="N25" s="13" t="str">
        <x:v>D19: 5 мс условно; действительную рампу и порядок EN подтвердить.</x:v>
      </x:c>
    </x:row>
    <x:row r="26" ht="44" customHeight="1">
      <x:c r="A26" s="9" t="str">
        <x:v>MAT_ADC_1V8</x:v>
      </x:c>
      <x:c r="B26" s="16" t="n">
        <x:v>1.1</x:v>
      </x:c>
      <x:c r="C26" s="16" t="n">
        <x:v>0</x:v>
      </x:c>
      <x:c r="D26" s="16" t="n">
        <x:f>B26+C26</x:f>
        <x:v>1.1</x:v>
      </x:c>
      <x:c r="E26" s="16" t="n">
        <x:f>'Вход'!$C$9</x:f>
        <x:v>1.2</x:v>
      </x:c>
      <x:c r="F26" s="14" t="n">
        <x:v>5</x:v>
      </x:c>
      <x:c r="G26" s="16" t="n">
        <x:f>SUMIFS('Нагрузки'!$F$6:$F$37,'Нагрузки'!$A$6:$A$37,A26)</x:f>
        <x:v>0.01</x:v>
      </x:c>
      <x:c r="H26" s="16" t="n">
        <x:f>0</x:f>
        <x:v>0</x:v>
      </x:c>
      <x:c r="I26" s="16" t="n">
        <x:f>D26*E26*ABS('Шины'!D26)/(1000*F26)</x:f>
        <x:v>0.00047520000000000006</x:v>
      </x:c>
      <x:c r="J26" s="16" t="n">
        <x:f>G26+H26+I26</x:f>
        <x:v>0.0104752</x:v>
      </x:c>
      <x:c r="K26" s="16" t="n">
        <x:f>J26+'Шины'!I26</x:f>
        <x:v>0.010505200000000001</x:v>
      </x:c>
      <x:c r="L26" s="16" t="n">
        <x:f>'Шины'!E26-J26</x:f>
        <x:v>0.4895248</x:v>
      </x:c>
      <x:c r="M26" s="16" t="n">
        <x:f>SUMIFS('Нагрузки'!$F$6:$F$37,'Нагрузки'!$A$6:$A$37,A26,'Нагрузки'!$B$6:$B$37,"Control")+0+B26*E26*ABS('Шины'!D26)/(1000*F26)</x:f>
        <x:v>0.0104752</x:v>
      </x:c>
      <x:c r="N26" s="12" t="str">
        <x:v>D19: 5 мс условно; действительную рампу и порядок EN подтвердить.</x:v>
      </x:c>
    </x:row>
    <x:row r="27" ht="44" customHeight="1">
      <x:c r="A27" s="2" t="str">
        <x:v>MAT_REF_PRE12</x:v>
      </x:c>
      <x:c r="B27" s="17" t="n">
        <x:v>2</x:v>
      </x:c>
      <x:c r="C27" s="17" t="n">
        <x:v>0</x:v>
      </x:c>
      <x:c r="D27" s="17" t="n">
        <x:f>B27+C27</x:f>
        <x:v>2</x:v>
      </x:c>
      <x:c r="E27" s="17" t="n">
        <x:f>'Вход'!$C$9</x:f>
        <x:v>1.2</x:v>
      </x:c>
      <x:c r="F27" s="14" t="n">
        <x:v>5</x:v>
      </x:c>
      <x:c r="G27" s="17" t="n">
        <x:f>SUMIFS('Нагрузки'!$F$6:$F$37,'Нагрузки'!$A$6:$A$37,A27)</x:f>
        <x:v>0.002</x:v>
      </x:c>
      <x:c r="H27" s="17" t="n">
        <x:f>K28</x:f>
        <x:v>0.02524</x:v>
      </x:c>
      <x:c r="I27" s="17" t="n">
        <x:f>D27*E27*ABS('Шины'!D27)/(1000*F27)</x:f>
        <x:v>0.0057599999999999995</x:v>
      </x:c>
      <x:c r="J27" s="17" t="n">
        <x:f>G27+H27+I27</x:f>
        <x:v>0.033</x:v>
      </x:c>
      <x:c r="K27" s="17" t="n">
        <x:f>J27+'Шины'!I27</x:f>
        <x:v>0.033100000000000004</x:v>
      </x:c>
      <x:c r="L27" s="17" t="n">
        <x:f>'Шины'!E27-J27</x:f>
        <x:v>0.067</x:v>
      </x:c>
      <x:c r="M27" s="17" t="n">
        <x:f>SUMIFS('Нагрузки'!$F$6:$F$37,'Нагрузки'!$A$6:$A$37,A27,'Нагрузки'!$B$6:$B$37,"Control")+K28+B27*E27*ABS('Шины'!D27)/(1000*F27)</x:f>
        <x:v>0.033</x:v>
      </x:c>
      <x:c r="N27" s="13" t="str">
        <x:v>D19: 5 мс условно; действительную рампу и порядок EN подтвердить.</x:v>
      </x:c>
    </x:row>
    <x:row r="28" ht="44" customHeight="1">
      <x:c r="A28" s="9" t="str">
        <x:v>MAT_ADC_REF</x:v>
      </x:c>
      <x:c r="B28" s="16" t="n">
        <x:v>20.200000000000003</x:v>
      </x:c>
      <x:c r="C28" s="16" t="n">
        <x:v>-3.552713678800501e-15</x:v>
      </x:c>
      <x:c r="D28" s="16" t="n">
        <x:f>B28+C28</x:f>
        <x:v>20.2</x:v>
      </x:c>
      <x:c r="E28" s="16" t="n">
        <x:f>'Вход'!$C$9</x:f>
        <x:v>1.2</x:v>
      </x:c>
      <x:c r="F28" s="14" t="n">
        <x:v>5</x:v>
      </x:c>
      <x:c r="G28" s="16" t="n">
        <x:f>SUMIFS('Нагрузки'!$F$6:$F$37,'Нагрузки'!$A$6:$A$37,A28)</x:f>
        <x:v>0.001</x:v>
      </x:c>
      <x:c r="H28" s="16" t="n">
        <x:f>0</x:f>
        <x:v>0</x:v>
      </x:c>
      <x:c r="I28" s="16" t="n">
        <x:f>D28*E28*ABS('Шины'!D28)/(1000*F28)</x:f>
        <x:v>0.024239999999999998</x:v>
      </x:c>
      <x:c r="J28" s="16" t="n">
        <x:f>G28+H28+I28</x:f>
        <x:v>0.02524</x:v>
      </x:c>
      <x:c r="K28" s="16" t="n">
        <x:f>J28+'Шины'!I28</x:f>
        <x:v>0.02524</x:v>
      </x:c>
      <x:c r="L28" s="16" t="str">
        <x:f>"не определён"</x:f>
        <x:v>не определён</x:v>
      </x:c>
      <x:c r="M28" s="16" t="n">
        <x:f>SUMIFS('Нагрузки'!$F$6:$F$37,'Нагрузки'!$A$6:$A$37,A28,'Нагрузки'!$B$6:$B$37,"Control")+0+B28*E28*ABS('Шины'!D28)/(1000*F28)</x:f>
        <x:v>0.025240000000000005</x:v>
      </x:c>
      <x:c r="N28" s="12" t="str">
        <x:v>D19: 5 мс условно; действительную рампу и порядок EN подтвердить.</x:v>
      </x:c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</x:sheetData>
  <x:conditionalFormatting sqref="L6:L28">
    <x:cfRule type="cellIs" dxfId="1" priority="1" operator="lessThan">
      <x:formula>0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637C95"/>
  </x:sheetPr>
  <x:sheetViews>
    <x:sheetView showGridLines="0" workbookViewId="0"/>
  </x:sheetViews>
  <x:sheetFormatPr defaultRowHeight="15"/>
  <x:cols>
    <x:col min="1" max="1" width="32" hidden="0" customWidth="1"/>
    <x:col min="2" max="2" width="18" hidden="0" customWidth="1"/>
    <x:col min="3" max="3" width="25" hidden="0" customWidth="1"/>
    <x:col min="4" max="4" width="15" hidden="0" customWidth="1"/>
    <x:col min="5" max="5" width="15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8" hidden="0" customWidth="1"/>
    <x:col min="11" max="11" width="63" hidden="0" customWidth="1"/>
    <x:col min="12" max="12" width="58" hidden="0" customWidth="1"/>
    <x:col min="13" max="13" width="24" hidden="0" customWidth="1"/>
    <x:col min="14" max="14" width="8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/>
      <x:c r="N1"/>
    </x:row>
    <x:row r="2">
      <x:c r="A2" s="3" t="str">
        <x:v>Распределённые вводы: ток контактов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/>
      <x:c r="N2"/>
    </x:row>
    <x:row r="3">
      <x:c r="A3" s="2" t="str">
        <x:v>Для общих шин — весь ток Control в каждой зоне по отдельности. Это консервативные оценки; их нельзя суммировать как разные нагрузки.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/>
      <x:c r="N3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/>
      <x:c r="N4"/>
    </x:row>
    <x:row r="5" ht="48" customHeight="1">
      <x:c r="A5" s="41" t="str">
        <x:v>Зона / пара</x:v>
      </x:c>
      <x:c r="B5" s="41" t="str">
        <x:v>Шина</x:v>
      </x:c>
      <x:c r="C5" s="41" t="str">
        <x:v>Контакты питания</x:v>
      </x:c>
      <x:c r="D5" s="41" t="str">
        <x:v>Силовых, шт.</x:v>
      </x:c>
      <x:c r="E5" s="41" t="str">
        <x:v>GND пары, шт.</x:v>
      </x:c>
      <x:c r="F5" s="41" t="str">
        <x:v>Пик ветви, А</x:v>
      </x:c>
      <x:c r="G5" s="41" t="str">
        <x:v>Пуск ветви, А</x:v>
      </x:c>
      <x:c r="H5" s="41" t="str">
        <x:v>Расчётный, А</x:v>
      </x:c>
      <x:c r="I5" s="41" t="str">
        <x:v>На контакт, А</x:v>
      </x:c>
      <x:c r="J5" s="41" t="str">
        <x:v>Запас к 1 А, А</x:v>
      </x:c>
      <x:c r="K5" s="41" t="str">
        <x:v>Основание</x:v>
      </x:c>
      <x:c r="L5" s="41" t="str">
        <x:v>Что проверить</x:v>
      </x:c>
      <x:c r="M5"/>
      <x:c r="N5"/>
    </x:row>
    <x:row r="6" ht="48" customHeight="1">
      <x:c r="A6" s="13" t="str">
        <x:v>SUPERVISION: J4901/J400</x:v>
      </x:c>
      <x:c r="B6" s="13" t="str">
        <x:v>AON</x:v>
      </x:c>
      <x:c r="C6" s="13" t="str">
        <x:v>19</x:v>
      </x:c>
      <x:c r="D6" s="2" t="n">
        <x:v>1</x:v>
      </x:c>
      <x:c r="E6" s="2" t="n">
        <x:v>10</x:v>
      </x:c>
      <x:c r="F6" s="17" t="n">
        <x:f>SUMIFS('Нагрузки'!$E$6:$E$37,'Нагрузки'!$A$6:$A$37,"AON",'Нагрузки'!$B$6:$B$37,"Control")+0</x:f>
        <x:v>0.006500000000000001</x:v>
      </x:c>
      <x:c r="G6" s="17" t="n">
        <x:f>'Пуск'!M6</x:f>
        <x:v>0.001</x:v>
      </x:c>
      <x:c r="H6" s="17" t="n">
        <x:f>MAX(F6,G6)</x:f>
        <x:v>0.006500000000000001</x:v>
      </x:c>
      <x:c r="I6" s="17" t="n">
        <x:f>H6/D6*'Вход'!$C$14</x:f>
        <x:v>0.008125</x:v>
      </x:c>
      <x:c r="J6" s="17" t="n">
        <x:f>'Вход'!$C$15-I6</x:f>
        <x:v>0.991875</x:v>
      </x:c>
      <x:c r="K6" s="13" t="str">
        <x:v>Весь ток данной шины Control; общий GND — в таблице ниже</x:v>
      </x:c>
      <x:c r="L6" s="13" t="str">
        <x:v>PCB, токораспределение и нагрев; токовой оценки недостаточно</x:v>
      </x:c>
      <x:c r="M6"/>
      <x:c r="N6"/>
    </x:row>
    <x:row r="7" ht="48" customHeight="1">
      <x:c r="A7" s="13" t="str">
        <x:v>FPGA: J4902/J401</x:v>
      </x:c>
      <x:c r="B7" s="13" t="str">
        <x:v>CORE1V0</x:v>
      </x:c>
      <x:c r="C7" s="13" t="str">
        <x:v>1, 3, 5, 7, 9, 11, 13, 15</x:v>
      </x:c>
      <x:c r="D7" s="2" t="n">
        <x:v>8</x:v>
      </x:c>
      <x:c r="E7" s="2" t="n">
        <x:v>13</x:v>
      </x:c>
      <x:c r="F7" s="17" t="n">
        <x:f>SUMIFS('Нагрузки'!$E$6:$E$37,'Нагрузки'!$A$6:$A$37,"CORE1V0",'Нагрузки'!$B$6:$B$37,"Control")+0</x:f>
        <x:v>5.2</x:v>
      </x:c>
      <x:c r="G7" s="17" t="n">
        <x:f>'Пуск'!M10</x:f>
        <x:v>1.480877180998761</x:v>
      </x:c>
      <x:c r="H7" s="17" t="n">
        <x:f>MAX(F7,G7)</x:f>
        <x:v>5.2</x:v>
      </x:c>
      <x:c r="I7" s="17" t="n">
        <x:f>H7/D7*'Вход'!$C$14</x:f>
        <x:v>0.8125</x:v>
      </x:c>
      <x:c r="J7" s="17" t="n">
        <x:f>'Вход'!$C$15-I7</x:f>
        <x:v>0.1875</x:v>
      </x:c>
      <x:c r="K7" s="13" t="str">
        <x:v>Весь ток данной шины Control; общий GND — в таблице ниже</x:v>
      </x:c>
      <x:c r="L7" s="13" t="str">
        <x:v>PCB, токораспределение и нагрев; токовой оценки недостаточно</x:v>
      </x:c>
      <x:c r="M7"/>
      <x:c r="N7"/>
    </x:row>
    <x:row r="8" ht="48" customHeight="1">
      <x:c r="A8" s="13" t="str">
        <x:v>FPGA: J4902/J401</x:v>
      </x:c>
      <x:c r="B8" s="13" t="str">
        <x:v>AUX1V8</x:v>
      </x:c>
      <x:c r="C8" s="13" t="str">
        <x:v>19, 21</x:v>
      </x:c>
      <x:c r="D8" s="2" t="n">
        <x:v>2</x:v>
      </x:c>
      <x:c r="E8" s="2" t="n">
        <x:v>13</x:v>
      </x:c>
      <x:c r="F8" s="17" t="n">
        <x:f>SUMIFS('Нагрузки'!$E$6:$E$37,'Нагрузки'!$A$6:$A$37,"AUX1V8",'Нагрузки'!$B$6:$B$37,"Control")+0</x:f>
        <x:v>0.39</x:v>
      </x:c>
      <x:c r="G8" s="17" t="n">
        <x:f>'Пуск'!M11</x:f>
        <x:v>0.1774104</x:v>
      </x:c>
      <x:c r="H8" s="17" t="n">
        <x:f>MAX(F8,G8)</x:f>
        <x:v>0.39</x:v>
      </x:c>
      <x:c r="I8" s="17" t="n">
        <x:f>H8/D8*'Вход'!$C$14</x:f>
        <x:v>0.24375000000000002</x:v>
      </x:c>
      <x:c r="J8" s="17" t="n">
        <x:f>'Вход'!$C$15-I8</x:f>
        <x:v>0.75625</x:v>
      </x:c>
      <x:c r="K8" s="13" t="str">
        <x:v>Весь ток данной шины Control; общий GND — в таблице ниже</x:v>
      </x:c>
      <x:c r="L8" s="13" t="str">
        <x:v>PCB, токораспределение и нагрев; токовой оценки недостаточно</x:v>
      </x:c>
      <x:c r="M8"/>
      <x:c r="N8"/>
    </x:row>
    <x:row r="9" ht="48" customHeight="1">
      <x:c r="A9" s="13" t="str">
        <x:v>FPGA: J4902/J401</x:v>
      </x:c>
      <x:c r="B9" s="13" t="str">
        <x:v>IO3V3</x:v>
      </x:c>
      <x:c r="C9" s="13" t="str">
        <x:v>23, 25</x:v>
      </x:c>
      <x:c r="D9" s="2" t="n">
        <x:v>2</x:v>
      </x:c>
      <x:c r="E9" s="2" t="n">
        <x:v>13</x:v>
      </x:c>
      <x:c r="F9" s="17" t="n">
        <x:f>SUMIFS('Нагрузки'!$E$6:$E$37,'Нагрузки'!$A$6:$A$37,"IO3V3",'Нагрузки'!$B$6:$B$37,"Control")+'Шины'!Q25</x:f>
        <x:v>1.5470300000000001</x:v>
      </x:c>
      <x:c r="G9" s="17" t="n">
        <x:f>'Пуск'!M13</x:f>
        <x:v>0.8757401880000016</x:v>
      </x:c>
      <x:c r="H9" s="17" t="n">
        <x:f>MAX(F9,G9)</x:f>
        <x:v>1.5470300000000001</x:v>
      </x:c>
      <x:c r="I9" s="17" t="n">
        <x:f>H9/D9*'Вход'!$C$14</x:f>
        <x:v>0.9668937500000001</x:v>
      </x:c>
      <x:c r="J9" s="17" t="n">
        <x:f>'Вход'!$C$15-I9</x:f>
        <x:v>0.03310624999999989</x:v>
      </x:c>
      <x:c r="K9" s="13" t="str">
        <x:v>Весь ток данной шины Control; общий GND — в таблице ниже</x:v>
      </x:c>
      <x:c r="L9" s="13" t="str">
        <x:v>PCB, токораспределение и нагрев; токовой оценки недостаточно</x:v>
      </x:c>
      <x:c r="M9"/>
      <x:c r="N9"/>
    </x:row>
    <x:row r="10" ht="48" customHeight="1">
      <x:c r="A10" s="13" t="str">
        <x:v>DDR: J4903/J402</x:v>
      </x:c>
      <x:c r="B10" s="13" t="str">
        <x:v>DDR1V35</x:v>
      </x:c>
      <x:c r="C10" s="13" t="str">
        <x:v>1, 3, 5</x:v>
      </x:c>
      <x:c r="D10" s="2" t="n">
        <x:v>3</x:v>
      </x:c>
      <x:c r="E10" s="2" t="n">
        <x:v>7</x:v>
      </x:c>
      <x:c r="F10" s="17" t="n">
        <x:f>SUMIFS('Нагрузки'!$E$6:$E$37,'Нагрузки'!$A$6:$A$37,"DDR1V35",'Нагрузки'!$B$6:$B$37,"Control")+0</x:f>
        <x:v>1.04</x:v>
      </x:c>
      <x:c r="G10" s="17" t="n">
        <x:f>'Пуск'!M14</x:f>
        <x:v>0.19565807999999996</x:v>
      </x:c>
      <x:c r="H10" s="17" t="n">
        <x:f>MAX(F10,G10)</x:f>
        <x:v>1.04</x:v>
      </x:c>
      <x:c r="I10" s="17" t="n">
        <x:f>H10/D10*'Вход'!$C$14</x:f>
        <x:v>0.43333333333333335</x:v>
      </x:c>
      <x:c r="J10" s="17" t="n">
        <x:f>'Вход'!$C$15-I10</x:f>
        <x:v>0.5666666666666667</x:v>
      </x:c>
      <x:c r="K10" s="13" t="str">
        <x:v>Весь ток данной шины Control; общий GND — в таблице ниже</x:v>
      </x:c>
      <x:c r="L10" s="13" t="str">
        <x:v>PCB, токораспределение и нагрев; токовой оценки недостаточно</x:v>
      </x:c>
      <x:c r="M10"/>
      <x:c r="N10"/>
    </x:row>
    <x:row r="11" ht="48" customHeight="1">
      <x:c r="A11" s="13" t="str">
        <x:v>DDR: J4903/J402</x:v>
      </x:c>
      <x:c r="B11" s="13" t="str">
        <x:v>VTT</x:v>
      </x:c>
      <x:c r="C11" s="13" t="str">
        <x:v>7, 9</x:v>
      </x:c>
      <x:c r="D11" s="2" t="n">
        <x:v>2</x:v>
      </x:c>
      <x:c r="E11" s="2" t="n">
        <x:v>7</x:v>
      </x:c>
      <x:c r="F11" s="17" t="n">
        <x:f>SUMIFS('Нагрузки'!$E$6:$E$37,'Нагрузки'!$A$6:$A$37,"VTT",'Нагрузки'!$B$6:$B$37,"Control")+0</x:f>
        <x:v>0.40445891783567134</x:v>
      </x:c>
      <x:c r="G11" s="17" t="n">
        <x:f>'Пуск'!M16</x:f>
        <x:v>0.02</x:v>
      </x:c>
      <x:c r="H11" s="17" t="n">
        <x:f>MAX(F11,G11)</x:f>
        <x:v>0.40445891783567134</x:v>
      </x:c>
      <x:c r="I11" s="17" t="n">
        <x:f>H11/D11*'Вход'!$C$14</x:f>
        <x:v>0.2527868236472946</x:v>
      </x:c>
      <x:c r="J11" s="17" t="n">
        <x:f>'Вход'!$C$15-I11</x:f>
        <x:v>0.7472131763527055</x:v>
      </x:c>
      <x:c r="K11" s="13" t="str">
        <x:v>Весь ток данной шины Control; общий GND — в таблице ниже</x:v>
      </x:c>
      <x:c r="L11" s="13" t="str">
        <x:v>PCB, токораспределение и нагрев; токовой оценки недостаточно</x:v>
      </x:c>
      <x:c r="M11"/>
      <x:c r="N11"/>
    </x:row>
    <x:row r="12" ht="48" customHeight="1">
      <x:c r="A12" s="13" t="str">
        <x:v>DDR: J4903/J402</x:v>
      </x:c>
      <x:c r="B12" s="13" t="str">
        <x:v>DDR_VREF</x:v>
      </x:c>
      <x:c r="C12" s="13" t="str">
        <x:v>11</x:v>
      </x:c>
      <x:c r="D12" s="2" t="n">
        <x:v>1</x:v>
      </x:c>
      <x:c r="E12" s="2" t="n">
        <x:v>7</x:v>
      </x:c>
      <x:c r="F12" s="17" t="n">
        <x:f>SUMIFS('Нагрузки'!$E$6:$E$37,'Нагрузки'!$A$6:$A$37,"DDR_VREF",'Нагрузки'!$B$6:$B$37,"Control")+0</x:f>
        <x:v>0.0013000000000000002</x:v>
      </x:c>
      <x:c r="G12" s="17" t="n">
        <x:f>'Пуск'!M17</x:f>
        <x:v>0.0001648</x:v>
      </x:c>
      <x:c r="H12" s="17" t="n">
        <x:f>MAX(F12,G12)</x:f>
        <x:v>0.0013000000000000002</x:v>
      </x:c>
      <x:c r="I12" s="17" t="n">
        <x:f>H12/D12*'Вход'!$C$14</x:f>
        <x:v>0.0016250000000000001</x:v>
      </x:c>
      <x:c r="J12" s="17" t="n">
        <x:f>'Вход'!$C$15-I12</x:f>
        <x:v>0.998375</x:v>
      </x:c>
      <x:c r="K12" s="13" t="str">
        <x:v>Весь ток данной шины Control; общий GND — в таблице ниже</x:v>
      </x:c>
      <x:c r="L12" s="13" t="str">
        <x:v>PCB, токораспределение и нагрев; токовой оценки недостаточно</x:v>
      </x:c>
      <x:c r="M12"/>
      <x:c r="N12"/>
    </x:row>
    <x:row r="13" ht="48" customHeight="1">
      <x:c r="A13" s="13" t="str">
        <x:v>DDR: J4903/J402</x:v>
      </x:c>
      <x:c r="B13" s="13" t="str">
        <x:v>IO3V3</x:v>
      </x:c>
      <x:c r="C13" s="13" t="str">
        <x:v>13</x:v>
      </x:c>
      <x:c r="D13" s="2" t="n">
        <x:v>1</x:v>
      </x:c>
      <x:c r="E13" s="2" t="n">
        <x:v>7</x:v>
      </x:c>
      <x:c r="F13" s="17" t="n">
        <x:f>SUMIFS('Нагрузки'!$E$6:$E$37,'Нагрузки'!$A$6:$A$37,"IO3V3",'Нагрузки'!$B$6:$B$37,"Control")+'Шины'!Q25</x:f>
        <x:v>1.5470300000000001</x:v>
      </x:c>
      <x:c r="G13" s="17" t="n">
        <x:f>'Пуск'!M13</x:f>
        <x:v>0.8757401880000016</x:v>
      </x:c>
      <x:c r="H13" s="17" t="n">
        <x:f>MAX(F13,G13)</x:f>
        <x:v>1.5470300000000001</x:v>
      </x:c>
      <x:c r="I13" s="17" t="n">
        <x:f>H13/D13*'Вход'!$C$14</x:f>
        <x:v>1.9337875000000002</x:v>
      </x:c>
      <x:c r="J13" s="17" t="n">
        <x:f>'Вход'!$C$15-I13</x:f>
        <x:v>-0.9337875000000002</x:v>
      </x:c>
      <x:c r="K13" s="13" t="str">
        <x:v>Весь ток данной шины Control; общий GND — в таблице ниже</x:v>
      </x:c>
      <x:c r="L13" s="13" t="str">
        <x:v>PCB, токораспределение и нагрев; токовой оценки недостаточно</x:v>
      </x:c>
      <x:c r="M13"/>
      <x:c r="N13"/>
    </x:row>
    <x:row r="14" ht="48" customHeight="1">
      <x:c r="A14" s="13" t="str">
        <x:v>MCU: J4904/J403</x:v>
      </x:c>
      <x:c r="B14" s="13" t="str">
        <x:v>SYS3V3</x:v>
      </x:c>
      <x:c r="C14" s="13" t="str">
        <x:v>1, 3, 5</x:v>
      </x:c>
      <x:c r="D14" s="2" t="n">
        <x:v>3</x:v>
      </x:c>
      <x:c r="E14" s="2" t="n">
        <x:v>5</x:v>
      </x:c>
      <x:c r="F14" s="17" t="n">
        <x:f>SUMIFS('Нагрузки'!$E$6:$E$37,'Нагрузки'!$A$6:$A$37,"SYS3V3",'Нагрузки'!$B$6:$B$37,"Control")+0</x:f>
        <x:v>1.1440000000000001</x:v>
      </x:c>
      <x:c r="G14" s="17" t="n">
        <x:f>'Пуск'!M7</x:f>
        <x:v>0.1733097777777778</x:v>
      </x:c>
      <x:c r="H14" s="17" t="n">
        <x:f>MAX(F14,G14)</x:f>
        <x:v>1.1440000000000001</x:v>
      </x:c>
      <x:c r="I14" s="17" t="n">
        <x:f>H14/D14*'Вход'!$C$14</x:f>
        <x:v>0.4766666666666667</x:v>
      </x:c>
      <x:c r="J14" s="17" t="n">
        <x:f>'Вход'!$C$15-I14</x:f>
        <x:v>0.5233333333333333</x:v>
      </x:c>
      <x:c r="K14" s="13" t="str">
        <x:v>Весь ток данной шины Control; общий GND — в таблице ниже</x:v>
      </x:c>
      <x:c r="L14" s="13" t="str">
        <x:v>PCB, токораспределение и нагрев; токовой оценки недостаточно</x:v>
      </x:c>
      <x:c r="M14"/>
      <x:c r="N14"/>
    </x:row>
    <x:row r="15" ht="48" customHeight="1">
      <x:c r="A15" s="13" t="str">
        <x:v>MCU: J4904/J403</x:v>
      </x:c>
      <x:c r="B15" s="13" t="str">
        <x:v>AON</x:v>
      </x:c>
      <x:c r="C15" s="13" t="str">
        <x:v>7</x:v>
      </x:c>
      <x:c r="D15" s="2" t="n">
        <x:v>1</x:v>
      </x:c>
      <x:c r="E15" s="2" t="n">
        <x:v>5</x:v>
      </x:c>
      <x:c r="F15" s="17" t="n">
        <x:f>SUMIFS('Нагрузки'!$E$6:$E$37,'Нагрузки'!$A$6:$A$37,"AON",'Нагрузки'!$B$6:$B$37,"Control")+0</x:f>
        <x:v>0.006500000000000001</x:v>
      </x:c>
      <x:c r="G15" s="17" t="n">
        <x:f>'Пуск'!M6</x:f>
        <x:v>0.001</x:v>
      </x:c>
      <x:c r="H15" s="17" t="n">
        <x:f>MAX(F15,G15)</x:f>
        <x:v>0.006500000000000001</x:v>
      </x:c>
      <x:c r="I15" s="17" t="n">
        <x:f>H15/D15*'Вход'!$C$14</x:f>
        <x:v>0.008125</x:v>
      </x:c>
      <x:c r="J15" s="17" t="n">
        <x:f>'Вход'!$C$15-I15</x:f>
        <x:v>0.991875</x:v>
      </x:c>
      <x:c r="K15" s="13" t="str">
        <x:v>Весь ток данной шины Control; общий GND — в таблице ниже</x:v>
      </x:c>
      <x:c r="L15" s="13" t="str">
        <x:v>PCB, токораспределение и нагрев; токовой оценки недостаточно</x:v>
      </x:c>
      <x:c r="M15"/>
      <x:c r="N15"/>
    </x:row>
    <x:row r="16" ht="48" customHeight="1">
      <x:c r="A16" s="13" t="str">
        <x:v>MCU: J4904/J403</x:v>
      </x:c>
      <x:c r="B16" s="13" t="str">
        <x:v>IO3V3</x:v>
      </x:c>
      <x:c r="C16" s="13" t="str">
        <x:v>9</x:v>
      </x:c>
      <x:c r="D16" s="2" t="n">
        <x:v>1</x:v>
      </x:c>
      <x:c r="E16" s="2" t="n">
        <x:v>5</x:v>
      </x:c>
      <x:c r="F16" s="17" t="n">
        <x:f>SUMIFS('Нагрузки'!$E$6:$E$37,'Нагрузки'!$A$6:$A$37,"IO3V3",'Нагрузки'!$B$6:$B$37,"Control")+'Шины'!Q25</x:f>
        <x:v>1.5470300000000001</x:v>
      </x:c>
      <x:c r="G16" s="17" t="n">
        <x:f>'Пуск'!M13</x:f>
        <x:v>0.8757401880000016</x:v>
      </x:c>
      <x:c r="H16" s="17" t="n">
        <x:f>MAX(F16,G16)</x:f>
        <x:v>1.5470300000000001</x:v>
      </x:c>
      <x:c r="I16" s="17" t="n">
        <x:f>H16/D16*'Вход'!$C$14</x:f>
        <x:v>1.9337875000000002</x:v>
      </x:c>
      <x:c r="J16" s="17" t="n">
        <x:f>'Вход'!$C$15-I16</x:f>
        <x:v>-0.9337875000000002</x:v>
      </x:c>
      <x:c r="K16" s="13" t="str">
        <x:v>Весь ток данной шины Control; общий GND — в таблице ниже</x:v>
      </x:c>
      <x:c r="L16" s="13" t="str">
        <x:v>PCB, токораспределение и нагрев; токовой оценки недостаточно</x:v>
      </x:c>
      <x:c r="M16"/>
      <x:c r="N16"/>
    </x:row>
    <x:row r="17" ht="48" customHeight="1">
      <x:c r="A17" s="13" t="str">
        <x:v>USB: J4905/J404</x:v>
      </x:c>
      <x:c r="B17" s="13" t="str">
        <x:v>IO3V3</x:v>
      </x:c>
      <x:c r="C17" s="13" t="str">
        <x:v>1, 3</x:v>
      </x:c>
      <x:c r="D17" s="2" t="n">
        <x:v>2</x:v>
      </x:c>
      <x:c r="E17" s="2" t="n">
        <x:v>4</x:v>
      </x:c>
      <x:c r="F17" s="17" t="n">
        <x:f>SUMIFS('Нагрузки'!$E$6:$E$37,'Нагрузки'!$A$6:$A$37,"IO3V3",'Нагрузки'!$B$6:$B$37,"Control")+'Шины'!Q25</x:f>
        <x:v>1.5470300000000001</x:v>
      </x:c>
      <x:c r="G17" s="17" t="n">
        <x:f>'Пуск'!M13</x:f>
        <x:v>0.8757401880000016</x:v>
      </x:c>
      <x:c r="H17" s="17" t="n">
        <x:f>MAX(F17,G17)</x:f>
        <x:v>1.5470300000000001</x:v>
      </x:c>
      <x:c r="I17" s="17" t="n">
        <x:f>H17/D17*'Вход'!$C$14</x:f>
        <x:v>0.9668937500000001</x:v>
      </x:c>
      <x:c r="J17" s="17" t="n">
        <x:f>'Вход'!$C$15-I17</x:f>
        <x:v>0.03310624999999989</x:v>
      </x:c>
      <x:c r="K17" s="13" t="str">
        <x:v>Весь ток данной шины Control; общий GND — в таблице ниже</x:v>
      </x:c>
      <x:c r="L17" s="13" t="str">
        <x:v>PCB, токораспределение и нагрев; токовой оценки недостаточно</x:v>
      </x:c>
      <x:c r="M17"/>
      <x:c r="N17"/>
    </x:row>
    <x:row r="18" ht="48" customHeight="1">
      <x:c r="A18" s="13" t="str">
        <x:v>USB: J4905/J404</x:v>
      </x:c>
      <x:c r="B18" s="13" t="str">
        <x:v>USB5</x:v>
      </x:c>
      <x:c r="C18" s="13" t="str">
        <x:v>5, 7</x:v>
      </x:c>
      <x:c r="D18" s="2" t="n">
        <x:v>2</x:v>
      </x:c>
      <x:c r="E18" s="2" t="n">
        <x:v>4</x:v>
      </x:c>
      <x:c r="F18" s="17" t="n">
        <x:f>SUMIFS('Нагрузки'!$E$6:$E$37,'Нагрузки'!$A$6:$A$37,"USB5",'Нагрузки'!$B$6:$B$37,"Control")+0</x:f>
        <x:v>0.065</x:v>
      </x:c>
      <x:c r="G18" s="17" t="n">
        <x:f>'Пуск'!M8</x:f>
        <x:v>0.02012</x:v>
      </x:c>
      <x:c r="H18" s="17" t="n">
        <x:f>MAX(F18,G18)</x:f>
        <x:v>0.065</x:v>
      </x:c>
      <x:c r="I18" s="17" t="n">
        <x:f>H18/D18*'Вход'!$C$14</x:f>
        <x:v>0.040625</x:v>
      </x:c>
      <x:c r="J18" s="17" t="n">
        <x:f>'Вход'!$C$15-I18</x:f>
        <x:v>0.959375</x:v>
      </x:c>
      <x:c r="K18" s="13" t="str">
        <x:v>Весь ток данной шины Control; общий GND — в таблице ниже</x:v>
      </x:c>
      <x:c r="L18" s="13" t="str">
        <x:v>PCB, токораспределение и нагрев; токовой оценки недостаточно</x:v>
      </x:c>
      <x:c r="M18"/>
      <x:c r="N18"/>
    </x:row>
    <x:row r="19" ht="48" customHeight="1">
      <x:c r="A19" s="13" t="str">
        <x:v>ETHERNET: J4906/J405</x:v>
      </x:c>
      <x:c r="B19" s="13" t="str">
        <x:v>PHY1V05</x:v>
      </x:c>
      <x:c r="C19" s="13" t="str">
        <x:v>1, 3</x:v>
      </x:c>
      <x:c r="D19" s="2" t="n">
        <x:v>2</x:v>
      </x:c>
      <x:c r="E19" s="2" t="n">
        <x:v>5</x:v>
      </x:c>
      <x:c r="F19" s="17" t="n">
        <x:f>SUMIFS('Нагрузки'!$E$6:$E$37,'Нагрузки'!$A$6:$A$37,"PHY1V05",'Нагрузки'!$B$6:$B$37,"Control")+0</x:f>
        <x:v>0.26</x:v>
      </x:c>
      <x:c r="G19" s="17" t="n">
        <x:f>'Пуск'!M15</x:f>
        <x:v>0.110292108</x:v>
      </x:c>
      <x:c r="H19" s="17" t="n">
        <x:f>MAX(F19,G19)</x:f>
        <x:v>0.26</x:v>
      </x:c>
      <x:c r="I19" s="17" t="n">
        <x:f>H19/D19*'Вход'!$C$14</x:f>
        <x:v>0.1625</x:v>
      </x:c>
      <x:c r="J19" s="17" t="n">
        <x:f>'Вход'!$C$15-I19</x:f>
        <x:v>0.8375</x:v>
      </x:c>
      <x:c r="K19" s="13" t="str">
        <x:v>Весь ток данной шины Control; общий GND — в таблице ниже</x:v>
      </x:c>
      <x:c r="L19" s="13" t="str">
        <x:v>PCB, токораспределение и нагрев; токовой оценки недостаточно</x:v>
      </x:c>
      <x:c r="M19"/>
      <x:c r="N19"/>
    </x:row>
    <x:row r="20" ht="48" customHeight="1">
      <x:c r="A20" s="13" t="str">
        <x:v>ETHERNET: J4906/J405</x:v>
      </x:c>
      <x:c r="B20" s="13" t="str">
        <x:v>IO3V3</x:v>
      </x:c>
      <x:c r="C20" s="13" t="str">
        <x:v>5, 7, 9</x:v>
      </x:c>
      <x:c r="D20" s="2" t="n">
        <x:v>3</x:v>
      </x:c>
      <x:c r="E20" s="2" t="n">
        <x:v>5</x:v>
      </x:c>
      <x:c r="F20" s="17" t="n">
        <x:f>SUMIFS('Нагрузки'!$E$6:$E$37,'Нагрузки'!$A$6:$A$37,"IO3V3",'Нагрузки'!$B$6:$B$37,"Control")+'Шины'!Q25</x:f>
        <x:v>1.5470300000000001</x:v>
      </x:c>
      <x:c r="G20" s="17" t="n">
        <x:f>'Пуск'!M13</x:f>
        <x:v>0.8757401880000016</x:v>
      </x:c>
      <x:c r="H20" s="17" t="n">
        <x:f>MAX(F20,G20)</x:f>
        <x:v>1.5470300000000001</x:v>
      </x:c>
      <x:c r="I20" s="17" t="n">
        <x:f>H20/D20*'Вход'!$C$14</x:f>
        <x:v>0.6445958333333334</x:v>
      </x:c>
      <x:c r="J20" s="17" t="n">
        <x:f>'Вход'!$C$15-I20</x:f>
        <x:v>0.35540416666666663</x:v>
      </x:c>
      <x:c r="K20" s="13" t="str">
        <x:v>Весь ток данной шины Control; общий GND — в таблице ниже</x:v>
      </x:c>
      <x:c r="L20" s="13" t="str">
        <x:v>PCB, токораспределение и нагрев; токовой оценки недостаточно</x:v>
      </x:c>
      <x:c r="M20"/>
      <x:c r="N20"/>
    </x:row>
    <x:row r="21" ht="48" customHeight="1">
      <x:c r="A21" s="13" t="str">
        <x:v>DAC_MATRIX: J4907/J406</x:v>
      </x:c>
      <x:c r="B21" s="13" t="str">
        <x:v>P15</x:v>
      </x:c>
      <x:c r="C21" s="13" t="str">
        <x:v>1, 3</x:v>
      </x:c>
      <x:c r="D21" s="2" t="n">
        <x:v>2</x:v>
      </x:c>
      <x:c r="E21" s="2" t="n">
        <x:v>9</x:v>
      </x:c>
      <x:c r="F21" s="17" t="n">
        <x:f>SUMIFS('Нагрузки'!$E$6:$E$37,'Нагрузки'!$A$6:$A$37,"P15",'Нагрузки'!$B$6:$B$37,"Control")+'Шины'!Q27</x:f>
        <x:v>0.4005</x:v>
      </x:c>
      <x:c r="G21" s="17" t="n">
        <x:f>'Пуск'!M21</x:f>
        <x:v>0.3643897230769233</x:v>
      </x:c>
      <x:c r="H21" s="17" t="n">
        <x:f>MAX(F21,G21)</x:f>
        <x:v>0.4005</x:v>
      </x:c>
      <x:c r="I21" s="17" t="n">
        <x:f>H21/D21*'Вход'!$C$14</x:f>
        <x:v>0.2503125</x:v>
      </x:c>
      <x:c r="J21" s="17" t="n">
        <x:f>'Вход'!$C$15-I21</x:f>
        <x:v>0.7496875000000001</x:v>
      </x:c>
      <x:c r="K21" s="13" t="str">
        <x:v>Весь ток данной шины Control; общий GND — в таблице ниже</x:v>
      </x:c>
      <x:c r="L21" s="13" t="str">
        <x:v>PCB, токораспределение и нагрев; токовой оценки недостаточно</x:v>
      </x:c>
      <x:c r="M21"/>
      <x:c r="N21"/>
    </x:row>
    <x:row r="22" ht="48" customHeight="1">
      <x:c r="A22" s="13" t="str">
        <x:v>DAC_MATRIX: J4907/J406</x:v>
      </x:c>
      <x:c r="B22" s="13" t="str">
        <x:v>N15</x:v>
      </x:c>
      <x:c r="C22" s="13" t="str">
        <x:v>5, 7</x:v>
      </x:c>
      <x:c r="D22" s="2" t="n">
        <x:v>2</x:v>
      </x:c>
      <x:c r="E22" s="2" t="n">
        <x:v>9</x:v>
      </x:c>
      <x:c r="F22" s="17" t="n">
        <x:f>SUMIFS('Нагрузки'!$E$6:$E$37,'Нагрузки'!$A$6:$A$37,"N15",'Нагрузки'!$B$6:$B$37,"Control")+0</x:f>
        <x:v>0.39</x:v>
      </x:c>
      <x:c r="G22" s="17" t="n">
        <x:f>'Пуск'!M22</x:f>
        <x:v>0.3134400000000003</x:v>
      </x:c>
      <x:c r="H22" s="17" t="n">
        <x:f>MAX(F22,G22)</x:f>
        <x:v>0.39</x:v>
      </x:c>
      <x:c r="I22" s="17" t="n">
        <x:f>H22/D22*'Вход'!$C$14</x:f>
        <x:v>0.24375000000000002</x:v>
      </x:c>
      <x:c r="J22" s="17" t="n">
        <x:f>'Вход'!$C$15-I22</x:f>
        <x:v>0.75625</x:v>
      </x:c>
      <x:c r="K22" s="13" t="str">
        <x:v>Весь ток данной шины Control; общий GND — в таблице ниже</x:v>
      </x:c>
      <x:c r="L22" s="13" t="str">
        <x:v>PCB, токораспределение и нагрев; токовой оценки недостаточно</x:v>
      </x:c>
      <x:c r="M22"/>
      <x:c r="N22"/>
    </x:row>
    <x:row r="23" ht="48" customHeight="1">
      <x:c r="A23" s="13" t="str">
        <x:v>DAC_MATRIX: J4907/J406</x:v>
      </x:c>
      <x:c r="B23" s="13" t="str">
        <x:v>ANA5</x:v>
      </x:c>
      <x:c r="C23" s="13" t="str">
        <x:v>9</x:v>
      </x:c>
      <x:c r="D23" s="2" t="n">
        <x:v>1</x:v>
      </x:c>
      <x:c r="E23" s="2" t="n">
        <x:v>9</x:v>
      </x:c>
      <x:c r="F23" s="17" t="n">
        <x:f>SUMIFS('Нагрузки'!$E$6:$E$37,'Нагрузки'!$A$6:$A$37,"ANA5",'Нагрузки'!$B$6:$B$37,"Control")+0</x:f>
        <x:v>0.195</x:v>
      </x:c>
      <x:c r="G23" s="17" t="n">
        <x:f>'Пуск'!M19</x:f>
        <x:v>0.06386153846153847</x:v>
      </x:c>
      <x:c r="H23" s="17" t="n">
        <x:f>MAX(F23,G23)</x:f>
        <x:v>0.195</x:v>
      </x:c>
      <x:c r="I23" s="17" t="n">
        <x:f>H23/D23*'Вход'!$C$14</x:f>
        <x:v>0.24375000000000002</x:v>
      </x:c>
      <x:c r="J23" s="17" t="n">
        <x:f>'Вход'!$C$15-I23</x:f>
        <x:v>0.75625</x:v>
      </x:c>
      <x:c r="K23" s="13" t="str">
        <x:v>Весь ток данной шины Control; общий GND — в таблице ниже</x:v>
      </x:c>
      <x:c r="L23" s="13" t="str">
        <x:v>PCB, токораспределение и нагрев; токовой оценки недостаточно</x:v>
      </x:c>
      <x:c r="M23"/>
      <x:c r="N23"/>
    </x:row>
    <x:row r="24" ht="48" customHeight="1">
      <x:c r="A24" s="13" t="str">
        <x:v>DAC_MATRIX: J4907/J406</x:v>
      </x:c>
      <x:c r="B24" s="13" t="str">
        <x:v>IO3V3</x:v>
      </x:c>
      <x:c r="C24" s="13" t="str">
        <x:v>11, 17</x:v>
      </x:c>
      <x:c r="D24" s="2" t="n">
        <x:v>2</x:v>
      </x:c>
      <x:c r="E24" s="2" t="n">
        <x:v>9</x:v>
      </x:c>
      <x:c r="F24" s="17" t="n">
        <x:f>SUMIFS('Нагрузки'!$E$6:$E$37,'Нагрузки'!$A$6:$A$37,"IO3V3",'Нагрузки'!$B$6:$B$37,"Control")+'Шины'!Q25</x:f>
        <x:v>1.5470300000000001</x:v>
      </x:c>
      <x:c r="G24" s="17" t="n">
        <x:f>'Пуск'!M13</x:f>
        <x:v>0.8757401880000016</x:v>
      </x:c>
      <x:c r="H24" s="17" t="n">
        <x:f>MAX(F24,G24)</x:f>
        <x:v>1.5470300000000001</x:v>
      </x:c>
      <x:c r="I24" s="17" t="n">
        <x:f>H24/D24*'Вход'!$C$14</x:f>
        <x:v>0.9668937500000001</x:v>
      </x:c>
      <x:c r="J24" s="17" t="n">
        <x:f>'Вход'!$C$15-I24</x:f>
        <x:v>0.03310624999999989</x:v>
      </x:c>
      <x:c r="K24" s="13" t="str">
        <x:v>Весь ток данной шины Control; общий GND — в таблице ниже</x:v>
      </x:c>
      <x:c r="L24" s="13" t="str">
        <x:v>PCB, токораспределение и нагрев; токовой оценки недостаточно</x:v>
      </x:c>
      <x:c r="M24"/>
      <x:c r="N24"/>
    </x:row>
    <x:row r="25" ht="48" customHeight="1">
      <x:c r="A25" s="13" t="str">
        <x:v>DAC_MATRIX: J4907/J406</x:v>
      </x:c>
      <x:c r="B25" s="13" t="str">
        <x:v>PROG_P15</x:v>
      </x:c>
      <x:c r="C25" s="13" t="str">
        <x:v>13</x:v>
      </x:c>
      <x:c r="D25" s="2" t="n">
        <x:v>1</x:v>
      </x:c>
      <x:c r="E25" s="2" t="n">
        <x:v>9</x:v>
      </x:c>
      <x:c r="F25" s="17" t="n">
        <x:f>SUMIFS('Нагрузки'!$E$6:$E$37,'Нагрузки'!$A$6:$A$37,"PROG_P15",'Нагрузки'!$B$6:$B$37,"Control")+0</x:f>
        <x:v>0.078</x:v>
      </x:c>
      <x:c r="G25" s="17" t="n">
        <x:f>'Пуск'!M23</x:f>
        <x:v>0.04953706425339366</x:v>
      </x:c>
      <x:c r="H25" s="17" t="n">
        <x:f>MAX(F25,G25)</x:f>
        <x:v>0.078</x:v>
      </x:c>
      <x:c r="I25" s="17" t="n">
        <x:f>H25/D25*'Вход'!$C$14</x:f>
        <x:v>0.0975</x:v>
      </x:c>
      <x:c r="J25" s="17" t="n">
        <x:f>'Вход'!$C$15-I25</x:f>
        <x:v>0.9025</x:v>
      </x:c>
      <x:c r="K25" s="13" t="str">
        <x:v>Весь ток данной шины Control; общий GND — в таблице ниже</x:v>
      </x:c>
      <x:c r="L25" s="13" t="str">
        <x:v>PCB, токораспределение и нагрев; токовой оценки недостаточно</x:v>
      </x:c>
      <x:c r="M25"/>
      <x:c r="N25"/>
    </x:row>
    <x:row r="26" ht="48" customHeight="1">
      <x:c r="A26" s="13" t="str">
        <x:v>DAC_MATRIX: J4907/J406</x:v>
      </x:c>
      <x:c r="B26" s="13" t="str">
        <x:v>PROG_N15</x:v>
      </x:c>
      <x:c r="C26" s="13" t="str">
        <x:v>15</x:v>
      </x:c>
      <x:c r="D26" s="2" t="n">
        <x:v>1</x:v>
      </x:c>
      <x:c r="E26" s="2" t="n">
        <x:v>9</x:v>
      </x:c>
      <x:c r="F26" s="17" t="n">
        <x:f>SUMIFS('Нагрузки'!$E$6:$E$37,'Нагрузки'!$A$6:$A$37,"PROG_N15",'Нагрузки'!$B$6:$B$37,"Control")+0</x:f>
        <x:v>0.078</x:v>
      </x:c>
      <x:c r="G26" s="17" t="n">
        <x:f>'Пуск'!M24</x:f>
        <x:v>0.04955999999999999</x:v>
      </x:c>
      <x:c r="H26" s="17" t="n">
        <x:f>MAX(F26,G26)</x:f>
        <x:v>0.078</x:v>
      </x:c>
      <x:c r="I26" s="17" t="n">
        <x:f>H26/D26*'Вход'!$C$14</x:f>
        <x:v>0.0975</x:v>
      </x:c>
      <x:c r="J26" s="17" t="n">
        <x:f>'Вход'!$C$15-I26</x:f>
        <x:v>0.9025</x:v>
      </x:c>
      <x:c r="K26" s="13" t="str">
        <x:v>Весь ток данной шины Control; общий GND — в таблице ниже</x:v>
      </x:c>
      <x:c r="L26" s="13" t="str">
        <x:v>PCB, токораспределение и нагрев; токовой оценки недостаточно</x:v>
      </x:c>
      <x:c r="M26"/>
      <x:c r="N26"/>
    </x:row>
    <x:row r="27" ht="48" customHeight="1">
      <x:c r="A27" s="13" t="str">
        <x:v>ADC_AFE: J4908/J407</x:v>
      </x:c>
      <x:c r="B27" s="13" t="str">
        <x:v>P15</x:v>
      </x:c>
      <x:c r="C27" s="13" t="str">
        <x:v>1</x:v>
      </x:c>
      <x:c r="D27" s="2" t="n">
        <x:v>1</x:v>
      </x:c>
      <x:c r="E27" s="2" t="n">
        <x:v>6</x:v>
      </x:c>
      <x:c r="F27" s="17" t="n">
        <x:f>SUMIFS('Нагрузки'!$E$6:$E$37,'Нагрузки'!$A$6:$A$37,"P15",'Нагрузки'!$B$6:$B$37,"Control")+'Шины'!Q27</x:f>
        <x:v>0.4005</x:v>
      </x:c>
      <x:c r="G27" s="17" t="n">
        <x:f>'Пуск'!M21</x:f>
        <x:v>0.3643897230769233</x:v>
      </x:c>
      <x:c r="H27" s="17" t="n">
        <x:f>MAX(F27,G27)</x:f>
        <x:v>0.4005</x:v>
      </x:c>
      <x:c r="I27" s="17" t="n">
        <x:f>H27/D27*'Вход'!$C$14</x:f>
        <x:v>0.500625</x:v>
      </x:c>
      <x:c r="J27" s="17" t="n">
        <x:f>'Вход'!$C$15-I27</x:f>
        <x:v>0.499375</x:v>
      </x:c>
      <x:c r="K27" s="13" t="str">
        <x:v>Весь ток данной шины Control; общий GND — в таблице ниже</x:v>
      </x:c>
      <x:c r="L27" s="13" t="str">
        <x:v>PCB, токораспределение и нагрев; токовой оценки недостаточно</x:v>
      </x:c>
      <x:c r="M27"/>
      <x:c r="N27"/>
    </x:row>
    <x:row r="28" ht="48" customHeight="1">
      <x:c r="A28" s="13" t="str">
        <x:v>ADC_AFE: J4908/J407</x:v>
      </x:c>
      <x:c r="B28" s="13" t="str">
        <x:v>N15</x:v>
      </x:c>
      <x:c r="C28" s="13" t="str">
        <x:v>3</x:v>
      </x:c>
      <x:c r="D28" s="2" t="n">
        <x:v>1</x:v>
      </x:c>
      <x:c r="E28" s="2" t="n">
        <x:v>6</x:v>
      </x:c>
      <x:c r="F28" s="17" t="n">
        <x:f>SUMIFS('Нагрузки'!$E$6:$E$37,'Нагрузки'!$A$6:$A$37,"N15",'Нагрузки'!$B$6:$B$37,"Control")+0</x:f>
        <x:v>0.39</x:v>
      </x:c>
      <x:c r="G28" s="17" t="n">
        <x:f>'Пуск'!M22</x:f>
        <x:v>0.3134400000000003</x:v>
      </x:c>
      <x:c r="H28" s="17" t="n">
        <x:f>MAX(F28,G28)</x:f>
        <x:v>0.39</x:v>
      </x:c>
      <x:c r="I28" s="17" t="n">
        <x:f>H28/D28*'Вход'!$C$14</x:f>
        <x:v>0.48750000000000004</x:v>
      </x:c>
      <x:c r="J28" s="17" t="n">
        <x:f>'Вход'!$C$15-I28</x:f>
        <x:v>0.5125</x:v>
      </x:c>
      <x:c r="K28" s="13" t="str">
        <x:v>Весь ток данной шины Control; общий GND — в таблице ниже</x:v>
      </x:c>
      <x:c r="L28" s="13" t="str">
        <x:v>PCB, токораспределение и нагрев; токовой оценки недостаточно</x:v>
      </x:c>
    </x:row>
    <x:row r="29" ht="48" customHeight="1">
      <x:c r="A29" s="13" t="str">
        <x:v>ADC_AFE: J4908/J407</x:v>
      </x:c>
      <x:c r="B29" s="13" t="str">
        <x:v>ANA5</x:v>
      </x:c>
      <x:c r="C29" s="13" t="str">
        <x:v>5</x:v>
      </x:c>
      <x:c r="D29" s="2" t="n">
        <x:v>1</x:v>
      </x:c>
      <x:c r="E29" s="2" t="n">
        <x:v>6</x:v>
      </x:c>
      <x:c r="F29" s="17" t="n">
        <x:f>SUMIFS('Нагрузки'!$E$6:$E$37,'Нагрузки'!$A$6:$A$37,"ANA5",'Нагрузки'!$B$6:$B$37,"Control")+0</x:f>
        <x:v>0.195</x:v>
      </x:c>
      <x:c r="G29" s="17" t="n">
        <x:f>'Пуск'!M19</x:f>
        <x:v>0.06386153846153847</x:v>
      </x:c>
      <x:c r="H29" s="17" t="n">
        <x:f>MAX(F29,G29)</x:f>
        <x:v>0.195</x:v>
      </x:c>
      <x:c r="I29" s="17" t="n">
        <x:f>H29/D29*'Вход'!$C$14</x:f>
        <x:v>0.24375000000000002</x:v>
      </x:c>
      <x:c r="J29" s="17" t="n">
        <x:f>'Вход'!$C$15-I29</x:f>
        <x:v>0.75625</x:v>
      </x:c>
      <x:c r="K29" s="13" t="str">
        <x:v>Весь ток данной шины Control; общий GND — в таблице ниже</x:v>
      </x:c>
      <x:c r="L29" s="13" t="str">
        <x:v>PCB, токораспределение и нагрев; токовой оценки недостаточно</x:v>
      </x:c>
    </x:row>
    <x:row r="30" ht="48" customHeight="1">
      <x:c r="A30" s="13" t="str">
        <x:v>ADC_AFE: J4908/J407</x:v>
      </x:c>
      <x:c r="B30" s="13" t="str">
        <x:v>ANA3V3</x:v>
      </x:c>
      <x:c r="C30" s="13" t="str">
        <x:v>7</x:v>
      </x:c>
      <x:c r="D30" s="2" t="n">
        <x:v>1</x:v>
      </x:c>
      <x:c r="E30" s="2" t="n">
        <x:v>6</x:v>
      </x:c>
      <x:c r="F30" s="17" t="n">
        <x:f>SUMIFS('Нагрузки'!$E$6:$E$37,'Нагрузки'!$A$6:$A$37,"ANA3V3",'Нагрузки'!$B$6:$B$37,"Control")+'Шины'!Q26</x:f>
        <x:v>0.06503</x:v>
      </x:c>
      <x:c r="G30" s="17" t="n">
        <x:f>'Пуск'!M20</x:f>
        <x:v>0.010809353846153847</x:v>
      </x:c>
      <x:c r="H30" s="17" t="n">
        <x:f>MAX(F30,G30)</x:f>
        <x:v>0.06503</x:v>
      </x:c>
      <x:c r="I30" s="17" t="n">
        <x:f>H30/D30*'Вход'!$C$14</x:f>
        <x:v>0.08128750000000001</x:v>
      </x:c>
      <x:c r="J30" s="17" t="n">
        <x:f>'Вход'!$C$15-I30</x:f>
        <x:v>0.9187125</x:v>
      </x:c>
      <x:c r="K30" s="13" t="str">
        <x:v>Весь ток данной шины Control; общий GND — в таблице ниже</x:v>
      </x:c>
      <x:c r="L30" s="13" t="str">
        <x:v>PCB, токораспределение и нагрев; токовой оценки недостаточно</x:v>
      </x:c>
    </x:row>
    <x:row r="31" ht="48" customHeight="1">
      <x:c r="A31" s="13" t="str">
        <x:v>ADC_AFE: J4908/J407</x:v>
      </x:c>
      <x:c r="B31" s="13" t="str">
        <x:v>IO3V3</x:v>
      </x:c>
      <x:c r="C31" s="13" t="str">
        <x:v>9</x:v>
      </x:c>
      <x:c r="D31" s="2" t="n">
        <x:v>1</x:v>
      </x:c>
      <x:c r="E31" s="2" t="n">
        <x:v>6</x:v>
      </x:c>
      <x:c r="F31" s="17" t="n">
        <x:f>SUMIFS('Нагрузки'!$E$6:$E$37,'Нагрузки'!$A$6:$A$37,"IO3V3",'Нагрузки'!$B$6:$B$37,"Control")+'Шины'!Q25</x:f>
        <x:v>1.5470300000000001</x:v>
      </x:c>
      <x:c r="G31" s="17" t="n">
        <x:f>'Пуск'!M13</x:f>
        <x:v>0.8757401880000016</x:v>
      </x:c>
      <x:c r="H31" s="17" t="n">
        <x:f>MAX(F31,G31)</x:f>
        <x:v>1.5470300000000001</x:v>
      </x:c>
      <x:c r="I31" s="17" t="n">
        <x:f>H31/D31*'Вход'!$C$14</x:f>
        <x:v>1.9337875000000002</x:v>
      </x:c>
      <x:c r="J31" s="17" t="n">
        <x:f>'Вход'!$C$15-I31</x:f>
        <x:v>-0.9337875000000002</x:v>
      </x:c>
      <x:c r="K31" s="13" t="str">
        <x:v>Весь ток данной шины Control; общий GND — в таблице ниже</x:v>
      </x:c>
      <x:c r="L31" s="13" t="str">
        <x:v>PCB, токораспределение и нагрев; токовой оценки недостаточно</x:v>
      </x:c>
    </x:row>
    <x:row r="32" ht="48" customHeight="1">
      <x:c r="A32" s="13" t="str">
        <x:v>ADC_AFE: J4908/J407</x:v>
      </x:c>
      <x:c r="B32" s="13" t="str">
        <x:v>AON</x:v>
      </x:c>
      <x:c r="C32" s="13" t="str">
        <x:v>11</x:v>
      </x:c>
      <x:c r="D32" s="2" t="n">
        <x:v>1</x:v>
      </x:c>
      <x:c r="E32" s="2" t="n">
        <x:v>6</x:v>
      </x:c>
      <x:c r="F32" s="17" t="n">
        <x:f>SUMIFS('Нагрузки'!$E$6:$E$37,'Нагрузки'!$A$6:$A$37,"AON",'Нагрузки'!$B$6:$B$37,"Control")+0</x:f>
        <x:v>0.006500000000000001</x:v>
      </x:c>
      <x:c r="G32" s="17" t="n">
        <x:f>'Пуск'!M6</x:f>
        <x:v>0.001</x:v>
      </x:c>
      <x:c r="H32" s="17" t="n">
        <x:f>MAX(F32,G32)</x:f>
        <x:v>0.006500000000000001</x:v>
      </x:c>
      <x:c r="I32" s="17" t="n">
        <x:f>H32/D32*'Вход'!$C$14</x:f>
        <x:v>0.008125</x:v>
      </x:c>
      <x:c r="J32" s="17" t="n">
        <x:f>'Вход'!$C$15-I32</x:f>
        <x:v>0.991875</x:v>
      </x:c>
      <x:c r="K32" s="13" t="str">
        <x:v>Весь ток данной шины Control; общий GND — в таблице ниже</x:v>
      </x:c>
      <x:c r="L32" s="13" t="str">
        <x:v>PCB, токораспределение и нагрев; токовой оценки недостаточно</x:v>
      </x:c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</x:row>
    <x:row r="36" ht="44" customHeight="1">
      <x:c r="A36" s="41" t="str">
        <x:v>Общий возврат пары</x:v>
      </x:c>
      <x:c r="B36" s="41" t="str">
        <x:v>GND, шт.</x:v>
      </x:c>
      <x:c r="C36" s="41" t="str">
        <x:v>Сумма модулей, А</x:v>
      </x:c>
      <x:c r="D36" s="41" t="str">
        <x:v>Средний, А</x:v>
      </x:c>
      <x:c r="E36" s="41" t="str">
        <x:v>С неравномерностью, А</x:v>
      </x:c>
      <x:c r="F36" s="41" t="str">
        <x:v>Запас, А</x:v>
      </x:c>
      <x:c r="G36" s="41" t="str">
        <x:v>Основание</x:v>
      </x:c>
      <x:c r="H36" s="2"/>
      <x:c r="I36" s="2"/>
      <x:c r="J36" s="2"/>
      <x:c r="K36" s="2"/>
      <x:c r="L36" s="2"/>
    </x:row>
    <x:row r="37" ht="30" customHeight="1">
      <x:c r="A37" s="2" t="str">
        <x:v>SUPERVISION</x:v>
      </x:c>
      <x:c r="B37" s="2" t="n">
        <x:v>10</x:v>
      </x:c>
      <x:c r="C37" s="17" t="n">
        <x:f>H6</x:f>
        <x:v>0.006500000000000001</x:v>
      </x:c>
      <x:c r="D37" s="17" t="n">
        <x:f>C37/B37</x:f>
        <x:v>0.0006500000000000001</x:v>
      </x:c>
      <x:c r="E37" s="17" t="n">
        <x:f>D37*'Вход'!$C$14</x:f>
        <x:v>0.0008125000000000001</x:v>
      </x:c>
      <x:c r="F37" s="17" t="n">
        <x:f>'Вход'!$C$15-E37</x:f>
        <x:v>0.9991875</x:v>
      </x:c>
      <x:c r="G37" s="2" t="str">
        <x:v>Модули токов; без вычитания N15. Сигнальные токи не включены.</x:v>
      </x:c>
      <x:c r="H37" s="2"/>
      <x:c r="I37" s="2"/>
      <x:c r="J37" s="2"/>
      <x:c r="K37" s="2"/>
      <x:c r="L37" s="2"/>
    </x:row>
    <x:row r="38" ht="30" customHeight="1">
      <x:c r="A38" s="2" t="str">
        <x:v>FPGA</x:v>
      </x:c>
      <x:c r="B38" s="2" t="n">
        <x:v>13</x:v>
      </x:c>
      <x:c r="C38" s="17" t="n">
        <x:f>H7+H8+H9</x:f>
        <x:v>7.13703</x:v>
      </x:c>
      <x:c r="D38" s="17" t="n">
        <x:f>C38/B38</x:f>
        <x:v>0.5490023076923077</x:v>
      </x:c>
      <x:c r="E38" s="17" t="n">
        <x:f>D38*'Вход'!$C$14</x:f>
        <x:v>0.6862528846153847</x:v>
      </x:c>
      <x:c r="F38" s="17" t="n">
        <x:f>'Вход'!$C$15-E38</x:f>
        <x:v>0.3137471153846153</x:v>
      </x:c>
      <x:c r="G38" s="2" t="str">
        <x:v>Модули токов; без вычитания N15. Сигнальные токи не включены.</x:v>
      </x:c>
      <x:c r="H38" s="2"/>
      <x:c r="I38" s="2"/>
      <x:c r="J38" s="2"/>
      <x:c r="K38" s="2"/>
      <x:c r="L38" s="2"/>
    </x:row>
    <x:row r="39" ht="30" customHeight="1">
      <x:c r="A39" s="2" t="str">
        <x:v>DDR</x:v>
      </x:c>
      <x:c r="B39" s="2" t="n">
        <x:v>7</x:v>
      </x:c>
      <x:c r="C39" s="17" t="n">
        <x:f>H10+H11+H12+H13</x:f>
        <x:v>2.9927889178356715</x:v>
      </x:c>
      <x:c r="D39" s="17" t="n">
        <x:f>C39/B39</x:f>
        <x:v>0.42754127397652447</x:v>
      </x:c>
      <x:c r="E39" s="17" t="n">
        <x:f>D39*'Вход'!$C$14</x:f>
        <x:v>0.5344265924706556</x:v>
      </x:c>
      <x:c r="F39" s="17" t="n">
        <x:f>'Вход'!$C$15-E39</x:f>
        <x:v>0.4655734075293444</x:v>
      </x:c>
      <x:c r="G39" s="2" t="str">
        <x:v>Модули токов; без вычитания N15. Сигнальные токи не включены.</x:v>
      </x:c>
      <x:c r="H39" s="2"/>
      <x:c r="I39" s="2"/>
      <x:c r="J39" s="2"/>
      <x:c r="K39" s="2"/>
      <x:c r="L39" s="2"/>
    </x:row>
    <x:row r="40" ht="30" customHeight="1">
      <x:c r="A40" s="2" t="str">
        <x:v>MCU</x:v>
      </x:c>
      <x:c r="B40" s="2" t="n">
        <x:v>5</x:v>
      </x:c>
      <x:c r="C40" s="17" t="n">
        <x:f>H14+H15+H16</x:f>
        <x:v>2.6975300000000004</x:v>
      </x:c>
      <x:c r="D40" s="17" t="n">
        <x:f>C40/B40</x:f>
        <x:v>0.539506</x:v>
      </x:c>
      <x:c r="E40" s="17" t="n">
        <x:f>D40*'Вход'!$C$14</x:f>
        <x:v>0.6743825000000001</x:v>
      </x:c>
      <x:c r="F40" s="17" t="n">
        <x:f>'Вход'!$C$15-E40</x:f>
        <x:v>0.3256174999999999</x:v>
      </x:c>
      <x:c r="G40" s="2" t="str">
        <x:v>Модули токов; без вычитания N15. Сигнальные токи не включены.</x:v>
      </x:c>
      <x:c r="H40" s="2"/>
      <x:c r="I40" s="2"/>
      <x:c r="J40" s="2"/>
      <x:c r="K40" s="2"/>
      <x:c r="L40" s="2"/>
    </x:row>
    <x:row r="41" ht="30" customHeight="1">
      <x:c r="A41" s="2" t="str">
        <x:v>USB</x:v>
      </x:c>
      <x:c r="B41" s="2" t="n">
        <x:v>4</x:v>
      </x:c>
      <x:c r="C41" s="17" t="n">
        <x:f>H17+H18</x:f>
        <x:v>1.61203</x:v>
      </x:c>
      <x:c r="D41" s="17" t="n">
        <x:f>C41/B41</x:f>
        <x:v>0.4030075</x:v>
      </x:c>
      <x:c r="E41" s="17" t="n">
        <x:f>D41*'Вход'!$C$14</x:f>
        <x:v>0.503759375</x:v>
      </x:c>
      <x:c r="F41" s="17" t="n">
        <x:f>'Вход'!$C$15-E41</x:f>
        <x:v>0.496240625</x:v>
      </x:c>
      <x:c r="G41" s="2" t="str">
        <x:v>Модули токов; без вычитания N15. Сигнальные токи не включены.</x:v>
      </x:c>
      <x:c r="H41" s="2"/>
      <x:c r="I41" s="2"/>
      <x:c r="J41" s="2"/>
      <x:c r="K41" s="2"/>
      <x:c r="L41" s="2"/>
    </x:row>
    <x:row r="42" ht="30" customHeight="1">
      <x:c r="A42" s="2" t="str">
        <x:v>ETHERNET</x:v>
      </x:c>
      <x:c r="B42" s="2" t="n">
        <x:v>5</x:v>
      </x:c>
      <x:c r="C42" s="17" t="n">
        <x:f>H19+H20</x:f>
        <x:v>1.8070300000000001</x:v>
      </x:c>
      <x:c r="D42" s="17" t="n">
        <x:f>C42/B42</x:f>
        <x:v>0.361406</x:v>
      </x:c>
      <x:c r="E42" s="17" t="n">
        <x:f>D42*'Вход'!$C$14</x:f>
        <x:v>0.45175750000000003</x:v>
      </x:c>
      <x:c r="F42" s="17" t="n">
        <x:f>'Вход'!$C$15-E42</x:f>
        <x:v>0.5482425</x:v>
      </x:c>
      <x:c r="G42" s="2" t="str">
        <x:v>Модули токов; без вычитания N15. Сигнальные токи не включены.</x:v>
      </x:c>
      <x:c r="H42" s="2"/>
      <x:c r="I42" s="2"/>
      <x:c r="J42" s="2"/>
      <x:c r="K42" s="2"/>
      <x:c r="L42" s="2"/>
    </x:row>
    <x:row r="43" ht="30" customHeight="1">
      <x:c r="A43" s="2" t="str">
        <x:v>DAC_MATRIX</x:v>
      </x:c>
      <x:c r="B43" s="2" t="n">
        <x:v>9</x:v>
      </x:c>
      <x:c r="C43" s="17" t="n">
        <x:f>H21+H22+H23+H24+H25+H26</x:f>
        <x:v>2.68853</x:v>
      </x:c>
      <x:c r="D43" s="17" t="n">
        <x:f>C43/B43</x:f>
        <x:v>0.2987255555555556</x:v>
      </x:c>
      <x:c r="E43" s="17" t="n">
        <x:f>D43*'Вход'!$C$14</x:f>
        <x:v>0.37340694444444444</x:v>
      </x:c>
      <x:c r="F43" s="17" t="n">
        <x:f>'Вход'!$C$15-E43</x:f>
        <x:v>0.6265930555555556</x:v>
      </x:c>
      <x:c r="G43" s="2" t="str">
        <x:v>Модули токов; без вычитания N15. Сигнальные токи не включены.</x:v>
      </x:c>
      <x:c r="H43" s="2"/>
      <x:c r="I43" s="2"/>
      <x:c r="J43" s="2"/>
      <x:c r="K43" s="2"/>
      <x:c r="L43" s="2"/>
    </x:row>
    <x:row r="44" ht="30" customHeight="1">
      <x:c r="A44" s="2" t="str">
        <x:v>ADC_AFE</x:v>
      </x:c>
      <x:c r="B44" s="2" t="n">
        <x:v>6</x:v>
      </x:c>
      <x:c r="C44" s="17" t="n">
        <x:f>H27+H28+H29+H30+H31+H32</x:f>
        <x:v>2.60406</x:v>
      </x:c>
      <x:c r="D44" s="17" t="n">
        <x:f>C44/B44</x:f>
        <x:v>0.43401</x:v>
      </x:c>
      <x:c r="E44" s="17" t="n">
        <x:f>D44*'Вход'!$C$14</x:f>
        <x:v>0.5425125</x:v>
      </x:c>
      <x:c r="F44" s="17" t="n">
        <x:f>'Вход'!$C$15-E44</x:f>
        <x:v>0.45748750000000005</x:v>
      </x:c>
      <x:c r="G44" s="2" t="str">
        <x:v>Модули токов; без вычитания N15. Сигнальные токи не включены.</x:v>
      </x:c>
      <x:c r="H44" s="2"/>
      <x:c r="I44" s="2"/>
      <x:c r="J44" s="2"/>
      <x:c r="K44" s="2"/>
      <x:c r="L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</x:row>
    <x:row r="48" ht="26" customHeight="1">
      <x:c r="A48" s="2" t="str">
        <x:v>CORE: условная DC-модель</x:v>
      </x:c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</x:row>
    <x:row r="49" ht="26" customHeight="1">
      <x:c r="A49" s="2" t="str">
        <x:v>Положительный тракт со шунтом, Ом</x:v>
      </x:c>
      <x:c r="B49" s="2"/>
      <x:c r="C49" s="2"/>
      <x:c r="D49" s="43" t="n">
        <x:v>0.007</x:v>
      </x:c>
      <x:c r="E49" s="2"/>
      <x:c r="F49" s="13" t="str">
        <x:v>7 мОм включают шунт 2 мОм. 3 мОм — общий GND. Для этой локальной модели взят только FPGA IO; токи других зон через данный возврат не предполагаются. Требуются геометрия PCB и проверка устойчивости.</x:v>
      </x:c>
      <x:c r="G49" s="13"/>
      <x:c r="H49" s="13"/>
      <x:c r="I49" s="13"/>
      <x:c r="J49" s="13"/>
      <x:c r="K49" s="13"/>
      <x:c r="L49" s="13"/>
    </x:row>
    <x:row r="50" ht="26" customHeight="1">
      <x:c r="A50" s="2" t="str">
        <x:v>Общий возврат, Ом</x:v>
      </x:c>
      <x:c r="B50" s="2"/>
      <x:c r="C50" s="2"/>
      <x:c r="D50" s="43" t="n">
        <x:v>0.003</x:v>
      </x:c>
      <x:c r="E50" s="2"/>
      <x:c r="F50" s="13"/>
      <x:c r="G50" s="13"/>
      <x:c r="H50" s="13"/>
      <x:c r="I50" s="13"/>
      <x:c r="J50" s="13"/>
      <x:c r="K50" s="13"/>
      <x:c r="L50" s="13"/>
    </x:row>
    <x:row r="51" ht="26" customHeight="1">
      <x:c r="A51" s="2" t="str">
        <x:v>Линия sense, Ом</x:v>
      </x:c>
      <x:c r="B51" s="2"/>
      <x:c r="C51" s="2"/>
      <x:c r="D51" s="43" t="n">
        <x:v>1</x:v>
      </x:c>
      <x:c r="E51" s="2"/>
      <x:c r="F51" s="13"/>
      <x:c r="G51" s="13"/>
      <x:c r="H51" s="13"/>
      <x:c r="I51" s="13"/>
      <x:c r="J51" s="13"/>
      <x:c r="K51" s="13"/>
      <x:c r="L51" s="13"/>
    </x:row>
    <x:row r="52" ht="26" customHeight="1">
      <x:c r="A52" s="2" t="str">
        <x:v>R1210 fallback, Ом</x:v>
      </x:c>
      <x:c r="B52" s="2"/>
      <x:c r="C52" s="2"/>
      <x:c r="D52" s="43" t="n">
        <x:v>100</x:v>
      </x:c>
      <x:c r="E52" s="2"/>
      <x:c r="F52" s="13"/>
      <x:c r="G52" s="13"/>
      <x:c r="H52" s="13"/>
      <x:c r="I52" s="13"/>
      <x:c r="J52" s="13"/>
      <x:c r="K52" s="13"/>
      <x:c r="L52" s="13"/>
    </x:row>
    <x:row r="53" ht="26" customHeight="1">
      <x:c r="A53" s="2" t="str">
        <x:v>Vref преобразователя, В</x:v>
      </x:c>
      <x:c r="B53" s="2"/>
      <x:c r="C53" s="2"/>
      <x:c r="D53" s="43" t="n">
        <x:v>0.6</x:v>
      </x:c>
      <x:c r="E53" s="2"/>
      <x:c r="F53" s="13"/>
      <x:c r="G53" s="13"/>
      <x:c r="H53" s="13"/>
      <x:c r="I53" s="13"/>
      <x:c r="J53" s="13"/>
      <x:c r="K53" s="13"/>
      <x:c r="L53" s="13"/>
    </x:row>
    <x:row r="54" ht="26" customHeight="1">
      <x:c r="A54" s="2" t="str">
        <x:v>Нижний резистор, Ом</x:v>
      </x:c>
      <x:c r="B54" s="2"/>
      <x:c r="C54" s="2"/>
      <x:c r="D54" s="43" t="n">
        <x:v>15000</x:v>
      </x:c>
      <x:c r="E54" s="2"/>
      <x:c r="F54" s="2"/>
      <x:c r="G54" s="2"/>
      <x:c r="H54" s="2"/>
      <x:c r="I54" s="2"/>
      <x:c r="J54" s="2"/>
      <x:c r="K54" s="2"/>
      <x:c r="L54" s="2"/>
    </x:row>
    <x:row r="55" ht="26" customHeight="1">
      <x:c r="A55" s="2" t="str">
        <x:v>Верхний резистор, Ом</x:v>
      </x:c>
      <x:c r="B55" s="2"/>
      <x:c r="C55" s="2"/>
      <x:c r="D55" s="43" t="n">
        <x:v>10200</x:v>
      </x:c>
      <x:c r="E55" s="2"/>
      <x:c r="F55" s="2"/>
      <x:c r="G55" s="2"/>
      <x:c r="H55" s="2"/>
      <x:c r="I55" s="2"/>
      <x:c r="J55" s="2"/>
      <x:c r="K55" s="2"/>
      <x:c r="L55" s="2"/>
    </x:row>
    <x:row r="56" ht="26" customHeight="1">
      <x:c r="A56" s="2" t="str">
        <x:v>CORE ток, А</x:v>
      </x:c>
      <x:c r="B56" s="2"/>
      <x:c r="C56" s="2"/>
      <x:c r="D56" s="42" t="n">
        <x:f>'Шины'!O10</x:f>
        <x:v>5.2</x:v>
      </x:c>
      <x:c r="E56" s="2"/>
      <x:c r="F56" s="2"/>
      <x:c r="G56" s="2"/>
      <x:c r="H56" s="2"/>
      <x:c r="I56" s="2"/>
      <x:c r="J56" s="2"/>
      <x:c r="K56" s="2"/>
      <x:c r="L56" s="2"/>
    </x:row>
    <x:row r="57" ht="26" customHeight="1">
      <x:c r="A57" s="2" t="str">
        <x:v>AUX + FPGA IO возврат, А</x:v>
      </x:c>
      <x:c r="B57" s="2"/>
      <x:c r="C57" s="2"/>
      <x:c r="D57" s="42" t="n">
        <x:f>'Нагрузки'!E14+'Нагрузки'!E16</x:f>
        <x:v>0.91</x:v>
      </x:c>
      <x:c r="E57" s="2"/>
      <x:c r="F57" s="2"/>
      <x:c r="G57" s="2"/>
      <x:c r="H57" s="2"/>
      <x:c r="I57" s="2"/>
      <x:c r="J57" s="2"/>
      <x:c r="K57" s="2"/>
      <x:c r="L57" s="2"/>
    </x:row>
    <x:row r="58" ht="26" customHeight="1">
      <x:c r="A58" s="2" t="str">
        <x:v>Выставленный номинал, В</x:v>
      </x:c>
      <x:c r="B58" s="2"/>
      <x:c r="C58" s="2"/>
      <x:c r="D58" s="42" t="n">
        <x:f>D53*(1+D55/D54)</x:f>
        <x:v>1.008</x:v>
      </x:c>
      <x:c r="E58" s="2"/>
      <x:c r="F58" s="2"/>
      <x:c r="G58" s="2"/>
      <x:c r="H58" s="2"/>
      <x:c r="I58" s="2"/>
      <x:c r="J58" s="2"/>
      <x:c r="K58" s="2"/>
      <x:c r="L58" s="2"/>
    </x:row>
    <x:row r="59" ht="26" customHeight="1">
      <x:c r="A59" s="2" t="str">
        <x:v>Ток линии sense, А</x:v>
      </x:c>
      <x:c r="B59" s="2"/>
      <x:c r="C59" s="2"/>
      <x:c r="D59" s="42" t="n">
        <x:f>(D53/D54*D52-D49*D56)/(D52+D51+D49)</x:f>
        <x:v>-0.0003207698476343223</x:v>
      </x:c>
      <x:c r="E59" s="2"/>
      <x:c r="F59" s="2"/>
      <x:c r="G59" s="2"/>
      <x:c r="H59" s="2"/>
      <x:c r="I59" s="2"/>
      <x:c r="J59" s="2"/>
      <x:c r="K59" s="2"/>
      <x:c r="L59" s="2"/>
    </x:row>
    <x:row r="60" ht="26" customHeight="1">
      <x:c r="A60" s="2" t="str">
        <x:v>Положительный потенциал нагрузки, В</x:v>
      </x:c>
      <x:c r="B60" s="2"/>
      <x:c r="C60" s="2"/>
      <x:c r="D60" s="42" t="n">
        <x:f>D58+D51*D59</x:f>
        <x:v>1.0076792301523656</x:v>
      </x:c>
      <x:c r="E60" s="2"/>
      <x:c r="F60" s="2"/>
      <x:c r="G60" s="2"/>
      <x:c r="H60" s="2"/>
      <x:c r="I60" s="2"/>
      <x:c r="J60" s="2"/>
      <x:c r="K60" s="2"/>
      <x:c r="L60" s="2"/>
    </x:row>
    <x:row r="61" ht="26" customHeight="1">
      <x:c r="A61" s="2" t="str">
        <x:v>Vraw с учётом sense, В</x:v>
      </x:c>
      <x:c r="B61" s="2"/>
      <x:c r="C61" s="2"/>
      <x:c r="D61" s="42" t="n">
        <x:f>D60+D49*(D56+D59)</x:f>
        <x:v>1.0440769847634321</x:v>
      </x:c>
      <x:c r="E61" s="2"/>
      <x:c r="F61" s="2"/>
      <x:c r="G61" s="2"/>
      <x:c r="H61" s="2"/>
      <x:c r="I61" s="2"/>
      <x:c r="J61" s="2"/>
      <x:c r="K61" s="2"/>
      <x:c r="L61" s="2"/>
    </x:row>
    <x:row r="62" ht="26" customHeight="1">
      <x:c r="A62" s="2" t="str">
        <x:v>Напряжение нагрузки, В</x:v>
      </x:c>
      <x:c r="B62" s="2"/>
      <x:c r="C62" s="2"/>
      <x:c r="D62" s="42" t="n">
        <x:f>D60-D50*(D56+D57)</x:f>
        <x:v>0.9893492301523656</x:v>
      </x:c>
      <x:c r="E62" s="2"/>
      <x:c r="F62" s="2"/>
      <x:c r="G62" s="2"/>
      <x:c r="H62" s="2"/>
      <x:c r="I62" s="2"/>
      <x:c r="J62" s="2"/>
      <x:c r="K62" s="2"/>
      <x:c r="L62" s="2"/>
    </x:row>
    <x:row r="63" ht="26" customHeight="1">
      <x:c r="A63" s="2" t="str">
        <x:v>Нижняя оценка с допусками, В</x:v>
      </x:c>
      <x:c r="B63" s="2"/>
      <x:c r="C63" s="2"/>
      <x:c r="D63" s="42" t="n">
        <x:f>D62-'Вход'!C10*D58-'Вход'!C11</x:f>
        <x:v>0.9591892301523657</x:v>
      </x:c>
      <x:c r="E63" s="2"/>
      <x:c r="F63" s="2"/>
      <x:c r="G63" s="2"/>
      <x:c r="H63" s="2"/>
      <x:c r="I63" s="2"/>
      <x:c r="J63" s="2"/>
      <x:c r="K63" s="2"/>
      <x:c r="L63" s="2"/>
    </x:row>
    <x:row r="64" ht="26" customHeight="1">
      <x:c r="A64" s="2" t="str">
        <x:v>Запас над Vmin FPGA, мВ</x:v>
      </x:c>
      <x:c r="B64" s="2"/>
      <x:c r="C64" s="2"/>
      <x:c r="D64" s="42" t="n">
        <x:f>(D63-'Шины'!T10)*1000</x:f>
        <x:v>9.189230152365724</x:v>
      </x:c>
      <x:c r="E64" s="2"/>
      <x:c r="F64" s="2"/>
      <x:c r="G64" s="2"/>
      <x:c r="H64" s="2"/>
      <x:c r="I64" s="2"/>
      <x:c r="J64" s="2"/>
      <x:c r="K64" s="2"/>
      <x:c r="L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</x:row>
  </x:sheetData>
  <x:mergeCells>
    <x:mergeCell ref="G37:K37"/>
    <x:mergeCell ref="G38:K38"/>
    <x:mergeCell ref="G39:K39"/>
    <x:mergeCell ref="G40:K40"/>
    <x:mergeCell ref="G41:K41"/>
    <x:mergeCell ref="G42:K42"/>
    <x:mergeCell ref="G43:K43"/>
    <x:mergeCell ref="G44:K44"/>
    <x:mergeCell ref="A48:C48"/>
    <x:mergeCell ref="A49:C49"/>
    <x:mergeCell ref="A50:C50"/>
    <x:mergeCell ref="A51:C51"/>
    <x:mergeCell ref="A52:C52"/>
    <x:mergeCell ref="A53:C53"/>
    <x:mergeCell ref="A54:C54"/>
    <x:mergeCell ref="A55:C55"/>
    <x:mergeCell ref="A56:C56"/>
    <x:mergeCell ref="A57:C57"/>
    <x:mergeCell ref="A58:C58"/>
    <x:mergeCell ref="A59:C59"/>
    <x:mergeCell ref="A60:C60"/>
    <x:mergeCell ref="A61:C61"/>
    <x:mergeCell ref="A62:C62"/>
    <x:mergeCell ref="A63:C63"/>
    <x:mergeCell ref="A64:C64"/>
    <x:mergeCell ref="F49:L53"/>
  </x:mergeCells>
  <x:conditionalFormatting sqref="M6:M21">
    <x:cfRule type="cellIs" dxfId="2" priority="1" operator="lessThan">
      <x:formula>0</x:formula>
    </x:cfRule>
  </x:conditionalFormatting>
  <x:conditionalFormatting sqref="J6:J32">
    <x:cfRule type="cellIs" dxfId="4" priority="2" operator="lessThan">
      <x:formula>0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C3953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9" hidden="0" customWidth="1"/>
    <x:col min="2" max="2" width="12" hidden="0" customWidth="1"/>
    <x:col min="3" max="3" width="55" hidden="0" customWidth="1"/>
    <x:col min="4" max="4" width="14" hidden="0" customWidth="1"/>
    <x:col min="5" max="5" width="14" hidden="0" customWidth="1"/>
    <x:col min="6" max="6" width="17" hidden="0" customWidth="1"/>
    <x:col min="7" max="7" width="85" hidden="0" customWidth="1"/>
    <x:col min="8" max="8" width="65" hidden="0" customWidth="1"/>
    <x:col min="9" max="9" width="2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>
      <x:c r="A2" s="3" t="str">
        <x:v>Нагрузки и допущения</x:v>
      </x:c>
      <x:c r="B2" s="2"/>
      <x:c r="C2" s="2"/>
      <x:c r="D2" s="2"/>
      <x:c r="E2" s="2"/>
      <x:c r="F2" s="2"/>
      <x:c r="G2" s="2"/>
      <x:c r="H2" s="2"/>
    </x:row>
    <x:row r="3">
      <x:c r="A3" s="4" t="str">
        <x:v>Пик = базовое допущение × запас на листе «Вход». Средний и пусковой режимы заданы отдельно.</x:v>
      </x:c>
      <x:c r="B3" s="2"/>
      <x:c r="C3" s="2"/>
      <x:c r="D3" s="2"/>
      <x:c r="E3" s="2"/>
      <x:c r="F3" s="2"/>
      <x:c r="G3" s="2"/>
      <x:c r="H3" s="2"/>
    </x:row>
    <x:row r="4">
      <x:c r="A4" s="2"/>
      <x:c r="B4" s="2"/>
      <x:c r="C4" s="2"/>
      <x:c r="D4" s="2"/>
      <x:c r="E4" s="2"/>
      <x:c r="F4" s="2"/>
      <x:c r="G4" s="2"/>
      <x:c r="H4" s="2"/>
    </x:row>
    <x:row r="5" ht="40" customHeight="1">
      <x:c r="A5" s="8" t="str">
        <x:v>Шина</x:v>
      </x:c>
      <x:c r="B5" s="8" t="str">
        <x:v>Плата</x:v>
      </x:c>
      <x:c r="C5" s="8" t="str">
        <x:v>Потребители</x:v>
      </x:c>
      <x:c r="D5" s="8" t="str">
        <x:v>Средний, А</x:v>
      </x:c>
      <x:c r="E5" s="8" t="str">
        <x:v>Пик с запасом, А</x:v>
      </x:c>
      <x:c r="F5" s="8" t="str">
        <x:v>Пуск без C, А</x:v>
      </x:c>
      <x:c r="G5" s="8" t="str">
        <x:v>Основание / что уточнить</x:v>
      </x:c>
      <x:c r="H5" s="8" t="str">
        <x:v>Источник</x:v>
      </x:c>
      <x:c r="I5" s="35" t="str">
        <x:v>Базовый пик, А</x:v>
      </x:c>
    </x:row>
    <x:row r="6" ht="47" customHeight="1">
      <x:c r="A6" s="9" t="str">
        <x:v>AON</x:v>
      </x:c>
      <x:c r="B6" s="9" t="str">
        <x:v>Power</x:v>
      </x:c>
      <x:c r="C6" s="12" t="str">
        <x:v>PM MCU, 14 INA301, INA293, логика, оптопары, мониторы; U4901 HOST_ALIVE</x:v>
      </x:c>
      <x:c r="D6" s="11" t="n">
        <x:v>0.12</x:v>
      </x:c>
      <x:c r="E6" s="38" t="n">
        <x:f>I6*'Вход'!$C$22</x:f>
        <x:v>0.26</x:v>
      </x:c>
      <x:c r="F6" s="11" t="n">
        <x:v>0.08</x:v>
      </x:c>
      <x:c r="G6" s="12" t="str">
        <x:v>D01: суммарный резерв, включая VIN/Iq TPS51200; уточнить режим MCU и оптопар; U4901 включён в тот же агрегированный резерв, отдельно максимум не подтверждён</x:v>
      </x:c>
      <x:c r="H6" s="12" t="str">
        <x:v>https://github.com/max-talanov/mira/tree/52f43869b6ed5019490eb40afbc84a4d607fd61e/hardware</x:v>
      </x:c>
      <x:c r="I6" s="37" t="n">
        <x:v>0.2</x:v>
      </x:c>
    </x:row>
    <x:row r="7" ht="47" customHeight="1">
      <x:c r="A7" s="2" t="str">
        <x:v>AON</x:v>
      </x:c>
      <x:c r="B7" s="2" t="str">
        <x:v>Control</x:v>
      </x:c>
      <x:c r="C7" s="13" t="str">
        <x:v>Подтяжки и цепь аппаратного запрета</x:v>
      </x:c>
      <x:c r="D7" s="11" t="n">
        <x:v>0.002</x:v>
      </x:c>
      <x:c r="E7" s="38" t="n">
        <x:f>I7*'Вход'!$C$22</x:f>
        <x:v>0.006500000000000001</x:v>
      </x:c>
      <x:c r="F7" s="11" t="n">
        <x:v>0.001</x:v>
      </x:c>
      <x:c r="G7" s="13" t="str">
        <x:v>D01: предварительный резерв</x:v>
      </x:c>
      <x:c r="H7" s="13" t="str">
        <x:v>https://github.com/max-talanov/mira/tree/52f43869b6ed5019490eb40afbc84a4d607fd61e/hardware</x:v>
      </x:c>
      <x:c r="I7" s="37" t="n">
        <x:v>0.005</x:v>
      </x:c>
    </x:row>
    <x:row r="8" ht="47" customHeight="1">
      <x:c r="A8" s="9" t="str">
        <x:v>SYS3V3</x:v>
      </x:c>
      <x:c r="B8" s="9" t="str">
        <x:v>Control</x:v>
      </x:c>
      <x:c r="C8" s="12" t="str">
        <x:v>U100 STM32H745, оба ядра</x:v>
      </x:c>
      <x:c r="D8" s="11" t="n">
        <x:v>0.2</x:v>
      </x:c>
      <x:c r="E8" s="38" t="n">
        <x:f>I8*'Вход'!$C$22</x:f>
        <x:v>0.52</x:v>
      </x:c>
      <x:c r="F8" s="11" t="n">
        <x:v>0.08</x:v>
      </x:c>
      <x:c r="G8" s="12" t="str">
        <x:v>D02: допущение; частоты, периферия и активность не заданы</x:v>
      </x:c>
      <x:c r="H8" s="12" t="str">
        <x:v>https://github.com/max-talanov/mira/tree/52f43869b6ed5019490eb40afbc84a4d607fd61e/hardware</x:v>
      </x:c>
      <x:c r="I8" s="37" t="n">
        <x:v>0.4</x:v>
      </x:c>
    </x:row>
    <x:row r="9" ht="47" customHeight="1">
      <x:c r="A9" s="2" t="str">
        <x:v>SYS3V3</x:v>
      </x:c>
      <x:c r="B9" s="2" t="str">
        <x:v>Control</x:v>
      </x:c>
      <x:c r="C9" s="13" t="str">
        <x:v>U200 SDRAM IS42S16320F</x:v>
      </x:c>
      <x:c r="D9" s="11" t="n">
        <x:v>0.09</x:v>
      </x:c>
      <x:c r="E9" s="38" t="n">
        <x:f>I9*'Вход'!$C$22</x:f>
        <x:v>0.195</x:v>
      </x:c>
      <x:c r="F9" s="11" t="n">
        <x:v>0.03</x:v>
      </x:c>
      <x:c r="G9" s="13" t="str">
        <x:v>D02: допущение; заменить расчётом по режимам памяти</x:v>
      </x:c>
      <x:c r="H9" s="13" t="str">
        <x:v>https://github.com/max-talanov/mira/tree/52f43869b6ed5019490eb40afbc84a4d607fd61e/hardware</x:v>
      </x:c>
      <x:c r="I9" s="37" t="n">
        <x:v>0.15</x:v>
      </x:c>
    </x:row>
    <x:row r="10" ht="47" customHeight="1">
      <x:c r="A10" s="9" t="str">
        <x:v>SYS3V3</x:v>
      </x:c>
      <x:c r="B10" s="9" t="str">
        <x:v>Control</x:v>
      </x:c>
      <x:c r="C10" s="12" t="str">
        <x:v>U300 Flash и microSD</x:v>
      </x:c>
      <x:c r="D10" s="11" t="n">
        <x:v>0.115</x:v>
      </x:c>
      <x:c r="E10" s="38" t="n">
        <x:f>I10*'Вход'!$C$22</x:f>
        <x:v>0.36400000000000005</x:v>
      </x:c>
      <x:c r="F10" s="11" t="n">
        <x:v>0.03</x:v>
      </x:c>
      <x:c r="G10" s="12" t="str">
        <x:v>D02: 15/30 мА Flash и 100/250 мА microSD; карта не выбрана</x:v>
      </x:c>
      <x:c r="H10" s="12" t="str">
        <x:v>https://github.com/max-talanov/mira/tree/52f43869b6ed5019490eb40afbc84a4d607fd61e/hardware</x:v>
      </x:c>
      <x:c r="I10" s="37" t="n">
        <x:v>0.28</x:v>
      </x:c>
    </x:row>
    <x:row r="11" ht="47" customHeight="1">
      <x:c r="A11" s="2" t="str">
        <x:v>SYS3V3</x:v>
      </x:c>
      <x:c r="B11" s="2" t="str">
        <x:v>Control</x:v>
      </x:c>
      <x:c r="C11" s="13" t="str">
        <x:v>Генератор, буферы, подтяжки</x:v>
      </x:c>
      <x:c r="D11" s="11" t="n">
        <x:v>0.02</x:v>
      </x:c>
      <x:c r="E11" s="38" t="n">
        <x:f>I11*'Вход'!$C$22</x:f>
        <x:v>0.065</x:v>
      </x:c>
      <x:c r="F11" s="11" t="n">
        <x:v>0.01</x:v>
      </x:c>
      <x:c r="G11" s="13" t="str">
        <x:v>D02: суммарный резерв</x:v>
      </x:c>
      <x:c r="H11" s="13" t="str">
        <x:v>https://github.com/max-talanov/mira/tree/52f43869b6ed5019490eb40afbc84a4d607fd61e/hardware</x:v>
      </x:c>
      <x:c r="I11" s="37" t="n">
        <x:v>0.05</x:v>
      </x:c>
    </x:row>
    <x:row r="12" ht="47" customHeight="1">
      <x:c r="A12" s="9" t="str">
        <x:v>SYS3V3</x:v>
      </x:c>
      <x:c r="B12" s="9" t="str">
        <x:v>Power</x:v>
      </x:c>
      <x:c r="C12" s="12" t="str">
        <x:v>Host watchdog и U3301</x:v>
      </x:c>
      <x:c r="D12" s="11" t="n">
        <x:v>0.01</x:v>
      </x:c>
      <x:c r="E12" s="38" t="n">
        <x:f>I12*'Вход'!$C$22</x:f>
        <x:v>0.026000000000000002</x:v>
      </x:c>
      <x:c r="F12" s="11" t="n">
        <x:v>0.005</x:v>
      </x:c>
      <x:c r="G12" s="12" t="str">
        <x:v>D02: суммарный резерв</x:v>
      </x:c>
      <x:c r="H12" s="12" t="str">
        <x:v>https://github.com/max-talanov/mira/tree/52f43869b6ed5019490eb40afbc84a4d607fd61e/hardware</x:v>
      </x:c>
      <x:c r="I12" s="37" t="n">
        <x:v>0.02</x:v>
      </x:c>
    </x:row>
    <x:row r="13" ht="47" customHeight="1">
      <x:c r="A13" s="2" t="str">
        <x:v>CORE1V0</x:v>
      </x:c>
      <x:c r="B13" s="2" t="str">
        <x:v>Control</x:v>
      </x:c>
      <x:c r="C13" s="13" t="str">
        <x:v>U500 VCCINT + VCCBRAM</x:v>
      </x:c>
      <x:c r="D13" s="11" t="n">
        <x:v>2</x:v>
      </x:c>
      <x:c r="E13" s="38" t="n">
        <x:f>I13*'Вход'!$C$22</x:f>
        <x:v>5.2</x:v>
      </x:c>
      <x:c r="F13" s="11" t="n">
        <x:v>1</x:v>
      </x:c>
      <x:c r="G13" s="13" t="str">
        <x:v>D03: 2/4 А — бюджет до XPE. Пуск 1 А без заряда C — тоже допущение</x:v>
      </x:c>
      <x:c r="H13" s="13" t="str">
        <x:v>https://docs.amd.com/v/u/en-US/ds181_Artix_7_Data_Sheet</x:v>
      </x:c>
      <x:c r="I13" s="37" t="n">
        <x:v>4</x:v>
      </x:c>
    </x:row>
    <x:row r="14" ht="47" customHeight="1">
      <x:c r="A14" s="9" t="str">
        <x:v>AUX1V8</x:v>
      </x:c>
      <x:c r="B14" s="9" t="str">
        <x:v>Control</x:v>
      </x:c>
      <x:c r="C14" s="12" t="str">
        <x:v>U500 VCCAUX и XADC через FB600</x:v>
      </x:c>
      <x:c r="D14" s="11" t="n">
        <x:v>0.15</x:v>
      </x:c>
      <x:c r="E14" s="38" t="n">
        <x:f>I14*'Вход'!$C$22</x:f>
        <x:v>0.39</x:v>
      </x:c>
      <x:c r="F14" s="11" t="n">
        <x:v>0.15</x:v>
      </x:c>
      <x:c r="G14" s="12" t="str">
        <x:v>D03: бюджет до XPE, включая XADC</x:v>
      </x:c>
      <x:c r="H14" s="12" t="str">
        <x:v>https://docs.amd.com/v/u/en-US/ds181_Artix_7_Data_Sheet</x:v>
      </x:c>
      <x:c r="I14" s="37" t="n">
        <x:v>0.3</x:v>
      </x:c>
    </x:row>
    <x:row r="15" ht="47" customHeight="1">
      <x:c r="A15" s="2" t="str">
        <x:v>AUX2V5</x:v>
      </x:c>
      <x:c r="B15" s="2" t="str">
        <x:v>Power</x:v>
      </x:c>
      <x:c r="C15" s="13" t="str">
        <x:v>Не назначенный потребитель; резерв</x:v>
      </x:c>
      <x:c r="D15" s="11" t="n">
        <x:v>0</x:v>
      </x:c>
      <x:c r="E15" s="38" t="n">
        <x:f>I15*'Вход'!$C$22</x:f>
        <x:v>0</x:v>
      </x:c>
      <x:c r="F15" s="11" t="n">
        <x:v>0</x:v>
      </x:c>
      <x:c r="G15" s="13" t="str">
        <x:v>D04: потребитель в текущей схеме не найден; 0 относится к этому сценарию, не к разрешению удалить шину</x:v>
      </x:c>
      <x:c r="H15" s="13" t="str">
        <x:v>https://github.com/max-talanov/mira/tree/52f43869b6ed5019490eb40afbc84a4d607fd61e/hardware</x:v>
      </x:c>
      <x:c r="I15" s="37" t="n">
        <x:v>0</x:v>
      </x:c>
    </x:row>
    <x:row r="16" ht="47" customHeight="1">
      <x:c r="A16" s="9" t="str">
        <x:v>IO3V3</x:v>
      </x:c>
      <x:c r="B16" s="9" t="str">
        <x:v>Control</x:v>
      </x:c>
      <x:c r="C16" s="12" t="str">
        <x:v>U500 банки 0/13/14/34/35</x:v>
      </x:c>
      <x:c r="D16" s="11" t="n">
        <x:v>0.15</x:v>
      </x:c>
      <x:c r="E16" s="38" t="n">
        <x:f>I16*'Вход'!$C$22</x:f>
        <x:v>0.52</x:v>
      </x:c>
      <x:c r="F16" s="11" t="n">
        <x:v>0.225</x:v>
      </x:c>
      <x:c r="G16" s="12" t="str">
        <x:v>D03: активность I/O неизвестна; пуск 5 банков × 45 мА ориентировочно</x:v>
      </x:c>
      <x:c r="H16" s="12" t="str">
        <x:v>https://docs.amd.com/v/u/en-US/ds181_Artix_7_Data_Sheet</x:v>
      </x:c>
      <x:c r="I16" s="37" t="n">
        <x:v>0.4</x:v>
      </x:c>
    </x:row>
    <x:row r="17" ht="47" customHeight="1">
      <x:c r="A17" s="2" t="str">
        <x:v>IO3V3</x:v>
      </x:c>
      <x:c r="B17" s="2" t="str">
        <x:v>Control</x:v>
      </x:c>
      <x:c r="C17" s="13" t="str">
        <x:v>U707 FT601 вместе с внутренним FT1V0 и фильтрами</x:v>
      </x:c>
      <x:c r="D17" s="11" t="n">
        <x:v>0.2</x:v>
      </x:c>
      <x:c r="E17" s="38" t="n">
        <x:f>I17*'Вход'!$C$22</x:f>
        <x:v>0.39</x:v>
      </x:c>
      <x:c r="F17" s="11" t="n">
        <x:v>0.08</x:v>
      </x:c>
      <x:c r="G17" s="13" t="str">
        <x:v>D05: общий ток на входе 3,3 В; FT1V0 отдельно повторно не суммируется</x:v>
      </x:c>
      <x:c r="H17" s="13" t="str">
        <x:v>https://github.com/max-talanov/mira/tree/52f43869b6ed5019490eb40afbc84a4d607fd61e/hardware</x:v>
      </x:c>
      <x:c r="I17" s="37" t="n">
        <x:v>0.3</x:v>
      </x:c>
    </x:row>
    <x:row r="18" ht="47" customHeight="1">
      <x:c r="A18" s="9" t="str">
        <x:v>IO3V3</x:v>
      </x:c>
      <x:c r="B18" s="9" t="str">
        <x:v>Control</x:v>
      </x:c>
      <x:c r="C18" s="12" t="str">
        <x:v>Матричная логика, регистры, SPI, Flash</x:v>
      </x:c>
      <x:c r="D18" s="11" t="n">
        <x:v>0.06</x:v>
      </x:c>
      <x:c r="E18" s="38" t="n">
        <x:f>I18*'Вход'!$C$22</x:f>
        <x:v>0.156</x:v>
      </x:c>
      <x:c r="F18" s="11" t="n">
        <x:v>0.025</x:v>
      </x:c>
      <x:c r="G18" s="12" t="str">
        <x:v>D05: резерв; зависит от частот и ёмкостной нагрузки</x:v>
      </x:c>
      <x:c r="H18" s="12" t="str">
        <x:v>https://github.com/max-talanov/mira/tree/52f43869b6ed5019490eb40afbc84a4d607fd61e/hardware</x:v>
      </x:c>
      <x:c r="I18" s="37" t="n">
        <x:v>0.12</x:v>
      </x:c>
    </x:row>
    <x:row r="19" ht="47" customHeight="1">
      <x:c r="A19" s="2" t="str">
        <x:v>IO3V3</x:v>
      </x:c>
      <x:c r="B19" s="2" t="str">
        <x:v>Control</x:v>
      </x:c>
      <x:c r="C19" s="13" t="str">
        <x:v>Y800 SiT9121 200 MHz</x:v>
      </x:c>
      <x:c r="D19" s="11" t="n">
        <x:v>0.06</x:v>
      </x:c>
      <x:c r="E19" s="38" t="n">
        <x:f>I19*'Вход'!$C$22</x:f>
        <x:v>0.11699999999999999</x:v>
      </x:c>
      <x:c r="F19" s="11" t="n">
        <x:v>0.06</x:v>
      </x:c>
      <x:c r="G19" s="13" t="str">
        <x:v>D05: допущение до проверки исполнения генератора</x:v>
      </x:c>
      <x:c r="H19" s="13" t="str">
        <x:v>https://github.com/max-talanov/mira/tree/52f43869b6ed5019490eb40afbc84a4d607fd61e/hardware</x:v>
      </x:c>
      <x:c r="I19" s="37" t="n">
        <x:v>0.09</x:v>
      </x:c>
    </x:row>
    <x:row r="20" ht="47" customHeight="1">
      <x:c r="A20" s="9" t="str">
        <x:v>IO3V3</x:v>
      </x:c>
      <x:c r="B20" s="9" t="str">
        <x:v>Control</x:v>
      </x:c>
      <x:c r="C20" s="12" t="str">
        <x:v>PHY VDDIO, LED, буферы</x:v>
      </x:c>
      <x:c r="D20" s="11" t="n">
        <x:v>0.04</x:v>
      </x:c>
      <x:c r="E20" s="38" t="n">
        <x:f>I20*'Вход'!$C$22</x:f>
        <x:v>0.10400000000000001</x:v>
      </x:c>
      <x:c r="F20" s="11" t="n">
        <x:v>0.025</x:v>
      </x:c>
      <x:c r="G20" s="12" t="str">
        <x:v>D05: запас для 3,3 В I/O; таблица TI с 1,8 В I/O напрямую не переносится</x:v>
      </x:c>
      <x:c r="H20" s="12" t="str">
        <x:v>https://www.ti.com/lit/ds/symlink/dp83867ir.pdf</x:v>
      </x:c>
      <x:c r="I20" s="37" t="n">
        <x:v>0.08</x:v>
      </x:c>
    </x:row>
    <x:row r="21" ht="47" customHeight="1">
      <x:c r="A21" s="2" t="str">
        <x:v>DDR1V35</x:v>
      </x:c>
      <x:c r="B21" s="2" t="str">
        <x:v>Control</x:v>
      </x:c>
      <x:c r="C21" s="13" t="str">
        <x:v>U800 DDR3L + U500 банки 15/16</x:v>
      </x:c>
      <x:c r="D21" s="11" t="n">
        <x:v>0.4</x:v>
      </x:c>
      <x:c r="E21" s="38" t="n">
        <x:f>I21*'Вход'!$C$22</x:f>
        <x:v>1.04</x:v>
      </x:c>
      <x:c r="F21" s="11" t="n">
        <x:v>0.15</x:v>
      </x:c>
      <x:c r="G21" s="13" t="str">
        <x:v>D06: бюджет памяти и I/O; средний включает верхние драйверы SSTL. Пиковая огибающая рассчитана для source VTT</x:v>
      </x:c>
      <x:c r="H21" s="13" t="str">
        <x:v>https://github.com/max-talanov/mira/tree/52f43869b6ed5019490eb40afbc84a4d607fd61e/hardware</x:v>
      </x:c>
      <x:c r="I21" s="37" t="n">
        <x:v>0.8</x:v>
      </x:c>
    </x:row>
    <x:row r="22" ht="47" customHeight="1">
      <x:c r="A22" s="9" t="str">
        <x:v>VTT</x:v>
      </x:c>
      <x:c r="B22" s="9" t="str">
        <x:v>Control</x:v>
      </x:c>
      <x:c r="C22" s="12" t="str">
        <x:v>23 терминирующих резистора по 49,9 Ом</x:v>
      </x:c>
      <x:c r="D22" s="24" t="n">
        <x:f>I22*0.5</x:f>
        <x:v>0.15556112224448898</x:v>
      </x:c>
      <x:c r="E22" s="38" t="n">
        <x:f>I22*'Вход'!$C$22</x:f>
        <x:v>0.40445891783567134</x:v>
      </x:c>
      <x:c r="F22" s="11" t="n">
        <x:v>0.02</x:v>
      </x:c>
      <x:c r="G22" s="12" t="str">
        <x:v>CALC: |Imax|=23×0,675/49,9; средний source принят 50%. Возможен равный по модулю sink; он не вычитается из входной мощности</x:v>
      </x:c>
      <x:c r="H22" s="12" t="str">
        <x:v>https://www.ti.com/product/TPS51200</x:v>
      </x:c>
      <x:c r="I22" s="37" t="n">
        <x:f>'Вход'!C52</x:f>
        <x:v>0.31112224448897796</x:v>
      </x:c>
    </x:row>
    <x:row r="23" ht="47" customHeight="1">
      <x:c r="A23" s="2" t="str">
        <x:v>DDR_VREF</x:v>
      </x:c>
      <x:c r="B23" s="2" t="str">
        <x:v>Control</x:v>
      </x:c>
      <x:c r="C23" s="13" t="str">
        <x:v>Опорные входы DDR и FPGA</x:v>
      </x:c>
      <x:c r="D23" s="11" t="n">
        <x:v>0.0001</x:v>
      </x:c>
      <x:c r="E23" s="38" t="n">
        <x:f>I23*'Вход'!$C$22</x:f>
        <x:v>0.0013000000000000002</x:v>
      </x:c>
      <x:c r="F23" s="11" t="n">
        <x:v>0.0001</x:v>
      </x:c>
      <x:c r="G23" s="13" t="str">
        <x:v>D06: предварительный ток опор; критерий — tracking/noise, не нагрев контакта</x:v>
      </x:c>
      <x:c r="H23" s="13" t="str">
        <x:v>https://github.com/max-talanov/mira/tree/52f43869b6ed5019490eb40afbc84a4d607fd61e/hardware</x:v>
      </x:c>
      <x:c r="I23" s="37" t="n">
        <x:v>0.001</x:v>
      </x:c>
    </x:row>
    <x:row r="24" ht="47" customHeight="1">
      <x:c r="A24" s="9" t="str">
        <x:v>PHY1V05</x:v>
      </x:c>
      <x:c r="B24" s="9" t="str">
        <x:v>Control</x:v>
      </x:c>
      <x:c r="C24" s="12" t="str">
        <x:v>U902 DP83867IRRGZ VDD1P0</x:v>
      </x:c>
      <x:c r="D24" s="11" t="n">
        <x:v>0.108</x:v>
      </x:c>
      <x:c r="E24" s="38" t="n">
        <x:f>I24*'Вход'!$C$22</x:f>
        <x:v>0.26</x:v>
      </x:c>
      <x:c r="F24" s="11" t="n">
        <x:v>0.108</x:v>
      </x:c>
      <x:c r="G24" s="12" t="str">
        <x:v>108 мА — типовой 1000BASE-T из TI, 200 мА — расчётный резерв</x:v>
      </x:c>
      <x:c r="H24" s="12" t="str">
        <x:v>https://www.ti.com/lit/ds/symlink/dp83867ir.pdf</x:v>
      </x:c>
      <x:c r="I24" s="37" t="n">
        <x:v>0.2</x:v>
      </x:c>
    </x:row>
    <x:row r="25" ht="47" customHeight="1">
      <x:c r="A25" s="2" t="str">
        <x:v>PHY2V5</x:v>
      </x:c>
      <x:c r="B25" s="2" t="str">
        <x:v>Control</x:v>
      </x:c>
      <x:c r="C25" s="13" t="str">
        <x:v>U902 VDDA2P5, локальный U903 от IO3V3</x:v>
      </x:c>
      <x:c r="D25" s="11" t="n">
        <x:v>0.137</x:v>
      </x:c>
      <x:c r="E25" s="38" t="n">
        <x:f>I25*'Вход'!$C$22</x:f>
        <x:v>0.26</x:v>
      </x:c>
      <x:c r="F25" s="11" t="n">
        <x:v>0.137</x:v>
      </x:c>
      <x:c r="G25" s="13" t="str">
        <x:v>137 мА — типовой двухдоменный режим TI, 200 мА — резерв; I/O 3,3 В учтён отдельно</x:v>
      </x:c>
      <x:c r="H25" s="13" t="str">
        <x:v>https://www.ti.com/lit/ds/symlink/dp83867ir.pdf</x:v>
      </x:c>
      <x:c r="I25" s="37" t="n">
        <x:v>0.2</x:v>
      </x:c>
    </x:row>
    <x:row r="26" ht="47" customHeight="1">
      <x:c r="A26" s="9" t="str">
        <x:v>ANA5</x:v>
      </x:c>
      <x:c r="B26" s="9" t="str">
        <x:v>Control</x:v>
      </x:c>
      <x:c r="C26" s="12" t="str">
        <x:v>Пять AD5676R, OPA197, THP210 и обвязка</x:v>
      </x:c>
      <x:c r="D26" s="11" t="n">
        <x:v>0.08</x:v>
      </x:c>
      <x:c r="E26" s="38" t="n">
        <x:f>I26*'Вход'!$C$22</x:f>
        <x:v>0.195</x:v>
      </x:c>
      <x:c r="F26" s="11" t="n">
        <x:v>0.04</x:v>
      </x:c>
      <x:c r="G26" s="12" t="str">
        <x:v>D07: суммарный резерв; допустимое напряжение всей цепи ещё проверить</x:v>
      </x:c>
      <x:c r="H26" s="12" t="str">
        <x:v>https://www.analog.com/en/products/ad5676r.html</x:v>
      </x:c>
      <x:c r="I26" s="37" t="n">
        <x:v>0.15</x:v>
      </x:c>
    </x:row>
    <x:row r="27" ht="47" customHeight="1">
      <x:c r="A27" s="2" t="str">
        <x:v>ANA3V3</x:v>
      </x:c>
      <x:c r="B27" s="2" t="str">
        <x:v>Power</x:v>
      </x:c>
      <x:c r="C27" s="13" t="str">
        <x:v>Разрядный резистор и служебный ток</x:v>
      </x:c>
      <x:c r="D27" s="11" t="n">
        <x:v>0.001</x:v>
      </x:c>
      <x:c r="E27" s="38" t="n">
        <x:f>I27*'Вход'!$C$22</x:f>
        <x:v>0.0026000000000000003</x:v>
      </x:c>
      <x:c r="F27" s="11" t="n">
        <x:v>0.001</x:v>
      </x:c>
      <x:c r="G27" s="13" t="str">
        <x:v>D07: резерв; основной потребитель — локальный LDO ADC на Control</x:v>
      </x:c>
      <x:c r="H27" s="13" t="str">
        <x:v>https://github.com/max-talanov/mira/tree/52f43869b6ed5019490eb40afbc84a4d607fd61e/hardware</x:v>
      </x:c>
      <x:c r="I27" s="37" t="n">
        <x:v>0.002</x:v>
      </x:c>
    </x:row>
    <x:row r="28" ht="47" customHeight="1">
      <x:c r="A28" s="9" t="str">
        <x:v>MAT_ADC_1V8</x:v>
      </x:c>
      <x:c r="B28" s="9" t="str">
        <x:v>Control</x:v>
      </x:c>
      <x:c r="C28" s="12" t="str">
        <x:v>U2004 AD4003 через U2005 TLV75518P</x:v>
      </x:c>
      <x:c r="D28" s="11" t="n">
        <x:v>0.02</x:v>
      </x:c>
      <x:c r="E28" s="38" t="n">
        <x:f>I28*'Вход'!$C$22</x:f>
        <x:v>0.065</x:v>
      </x:c>
      <x:c r="F28" s="11" t="n">
        <x:v>0.01</x:v>
      </x:c>
      <x:c r="G28" s="12" t="str">
        <x:v>D07: допущение до задания частоты выборок</x:v>
      </x:c>
      <x:c r="H28" s="12" t="str">
        <x:v>https://github.com/max-talanov/mira/tree/52f43869b6ed5019490eb40afbc84a4d607fd61e/hardware</x:v>
      </x:c>
      <x:c r="I28" s="37" t="n">
        <x:v>0.05</x:v>
      </x:c>
    </x:row>
    <x:row r="29" ht="47" customHeight="1">
      <x:c r="A29" s="2" t="str">
        <x:v>P15</x:v>
      </x:c>
      <x:c r="B29" s="2" t="str">
        <x:v>Control</x:v>
      </x:c>
      <x:c r="C29" s="13" t="str">
        <x:v>40 каналов OPA192, 16 OPA197, OPA551, INA и ключи</x:v>
      </x:c>
      <x:c r="D29" s="11" t="n">
        <x:v>0.075</x:v>
      </x:c>
      <x:c r="E29" s="38" t="n">
        <x:f>I29*'Вход'!$C$22</x:f>
        <x:v>0.13</x:v>
      </x:c>
      <x:c r="F29" s="11" t="n">
        <x:v>0.1</x:v>
      </x:c>
      <x:c r="G29" s="13" t="str">
        <x:v>D08: 40+16+7=63 мА типовой основы; остальные и запас включены до 75/100 мА. Не datasheet maximum</x:v>
      </x:c>
      <x:c r="H29" s="13" t="str">
        <x:v>https://www.ti.com/product/OPA4192</x:v>
      </x:c>
      <x:c r="I29" s="37" t="n">
        <x:v>0.1</x:v>
      </x:c>
    </x:row>
    <x:row r="30" ht="47" customHeight="1">
      <x:c r="A30" s="9" t="str">
        <x:v>P15</x:v>
      </x:c>
      <x:c r="B30" s="9" t="str">
        <x:v>Control</x:v>
      </x:c>
      <x:c r="C30" s="12" t="str">
        <x:v>Выходные токи аналоговых буферов и резистивные цепи</x:v>
      </x:c>
      <x:c r="D30" s="11" t="n">
        <x:v>0.03</x:v>
      </x:c>
      <x:c r="E30" s="38" t="n">
        <x:f>I30*'Вход'!$C$22</x:f>
        <x:v>0.26</x:v>
      </x:c>
      <x:c r="F30" s="11" t="n">
        <x:v>0.005</x:v>
      </x:c>
      <x:c r="G30" s="12" t="str">
        <x:v>D08: допущение. 32 одновременных BL, проводимость DUT и заряд линий требуют отдельного расчёта</x:v>
      </x:c>
      <x:c r="H30" s="12" t="str">
        <x:v>https://github.com/max-talanov/mira/tree/52f43869b6ed5019490eb40afbc84a4d607fd61e/hardware</x:v>
      </x:c>
      <x:c r="I30" s="37" t="n">
        <x:v>0.2</x:v>
      </x:c>
    </x:row>
    <x:row r="31" ht="47" customHeight="1">
      <x:c r="A31" s="2" t="str">
        <x:v>N15</x:v>
      </x:c>
      <x:c r="B31" s="2" t="str">
        <x:v>Control</x:v>
      </x:c>
      <x:c r="C31" s="13" t="str">
        <x:v>40 каналов OPA192, 16 OPA197, OPA551, INA и ключи</x:v>
      </x:c>
      <x:c r="D31" s="11" t="n">
        <x:v>0.075</x:v>
      </x:c>
      <x:c r="E31" s="38" t="n">
        <x:f>I31*'Вход'!$C$22</x:f>
        <x:v>0.13</x:v>
      </x:c>
      <x:c r="F31" s="11" t="n">
        <x:v>0.1</x:v>
      </x:c>
      <x:c r="G31" s="13" t="str">
        <x:v>D08: 40+16+7=63 мА типовой основы; остальные и запас включены до 75/100 мА. Не datasheet maximum</x:v>
      </x:c>
      <x:c r="H31" s="13" t="str">
        <x:v>https://www.ti.com/product/OPA4192</x:v>
      </x:c>
      <x:c r="I31" s="37" t="n">
        <x:v>0.1</x:v>
      </x:c>
    </x:row>
    <x:row r="32" ht="47" customHeight="1">
      <x:c r="A32" s="9" t="str">
        <x:v>N15</x:v>
      </x:c>
      <x:c r="B32" s="9" t="str">
        <x:v>Control</x:v>
      </x:c>
      <x:c r="C32" s="12" t="str">
        <x:v>Выходные токи аналоговых буферов и резистивные цепи</x:v>
      </x:c>
      <x:c r="D32" s="11" t="n">
        <x:v>0.03</x:v>
      </x:c>
      <x:c r="E32" s="38" t="n">
        <x:f>I32*'Вход'!$C$22</x:f>
        <x:v>0.26</x:v>
      </x:c>
      <x:c r="F32" s="11" t="n">
        <x:v>0.005</x:v>
      </x:c>
      <x:c r="G32" s="12" t="str">
        <x:v>D08: допущение. 32 одновременных BL, проводимость DUT и заряд линий требуют отдельного расчёта</x:v>
      </x:c>
      <x:c r="H32" s="12" t="str">
        <x:v>https://github.com/max-talanov/mira/tree/52f43869b6ed5019490eb40afbc84a4d607fd61e/hardware</x:v>
      </x:c>
      <x:c r="I32" s="37" t="n">
        <x:v>0.2</x:v>
      </x:c>
    </x:row>
    <x:row r="33" ht="47" customHeight="1">
      <x:c r="A33" s="2" t="str">
        <x:v>PROG_P15</x:v>
      </x:c>
      <x:c r="B33" s="2" t="str">
        <x:v>Control</x:v>
      </x:c>
      <x:c r="C33" s="13" t="str">
        <x:v>U1103 AD5761R + U1104 OPA192, FORM/WRITE</x:v>
      </x:c>
      <x:c r="D33" s="11" t="n">
        <x:v>0.02</x:v>
      </x:c>
      <x:c r="E33" s="38" t="n">
        <x:f>I33*'Вход'!$C$22</x:f>
        <x:v>0.078</x:v>
      </x:c>
      <x:c r="F33" s="11" t="n">
        <x:v>0.015</x:v>
      </x:c>
      <x:c r="G33" s="13" t="str">
        <x:v>D09: резерв до определения импульсов, нагрузки и скважности; учитывается также в родительской ±15 В</x:v>
      </x:c>
      <x:c r="H33" s="13" t="str">
        <x:v>https://github.com/max-talanov/mira/tree/52f43869b6ed5019490eb40afbc84a4d607fd61e/hardware</x:v>
      </x:c>
      <x:c r="I33" s="37" t="n">
        <x:v>0.06</x:v>
      </x:c>
    </x:row>
    <x:row r="34" ht="47" customHeight="1">
      <x:c r="A34" s="9" t="str">
        <x:v>PROG_N15</x:v>
      </x:c>
      <x:c r="B34" s="9" t="str">
        <x:v>Control</x:v>
      </x:c>
      <x:c r="C34" s="12" t="str">
        <x:v>U1103 AD5761R + U1104 OPA192, FORM/WRITE</x:v>
      </x:c>
      <x:c r="D34" s="11" t="n">
        <x:v>0.02</x:v>
      </x:c>
      <x:c r="E34" s="38" t="n">
        <x:f>I34*'Вход'!$C$22</x:f>
        <x:v>0.078</x:v>
      </x:c>
      <x:c r="F34" s="11" t="n">
        <x:v>0.015</x:v>
      </x:c>
      <x:c r="G34" s="12" t="str">
        <x:v>D09: резерв до определения импульсов, нагрузки и скважности; учитывается также в родительской ±15 В</x:v>
      </x:c>
      <x:c r="H34" s="12" t="str">
        <x:v>https://github.com/max-talanov/mira/tree/52f43869b6ed5019490eb40afbc84a4d607fd61e/hardware</x:v>
      </x:c>
      <x:c r="I34" s="37" t="n">
        <x:v>0.06</x:v>
      </x:c>
    </x:row>
    <x:row r="35" ht="47" customHeight="1">
      <x:c r="A35" s="2" t="str">
        <x:v>MAT_REF_PRE12</x:v>
      </x:c>
      <x:c r="B35" s="2" t="str">
        <x:v>Control</x:v>
      </x:c>
      <x:c r="C35" s="13" t="str">
        <x:v>U2000 ADR4550 и утечки</x:v>
      </x:c>
      <x:c r="D35" s="11" t="n">
        <x:v>0.002</x:v>
      </x:c>
      <x:c r="E35" s="38" t="n">
        <x:f>I35*'Вход'!$C$22</x:f>
        <x:v>0.0039000000000000003</x:v>
      </x:c>
      <x:c r="F35" s="11" t="n">
        <x:v>0.002</x:v>
      </x:c>
      <x:c r="G35" s="13" t="str">
        <x:v>D07: собственный ток опоры предварительно; выходная нагрузка MAT_ADC_REF учитывается отдельно</x:v>
      </x:c>
      <x:c r="H35" s="13" t="str">
        <x:v>https://github.com/max-talanov/mira/tree/52f43869b6ed5019490eb40afbc84a4d607fd61e/hardware</x:v>
      </x:c>
      <x:c r="I35" s="37" t="n">
        <x:v>0.003</x:v>
      </x:c>
    </x:row>
    <x:row r="36" ht="47" customHeight="1">
      <x:c r="A36" s="9" t="str">
        <x:v>MAT_ADC_REF</x:v>
      </x:c>
      <x:c r="B36" s="9" t="str">
        <x:v>Control</x:v>
      </x:c>
      <x:c r="C36" s="12" t="str">
        <x:v>Опорная цепь ADC и компараторов</x:v>
      </x:c>
      <x:c r="D36" s="11" t="n">
        <x:v>0.001</x:v>
      </x:c>
      <x:c r="E36" s="38" t="n">
        <x:f>I36*'Вход'!$C$22</x:f>
        <x:v>0.006500000000000001</x:v>
      </x:c>
      <x:c r="F36" s="11" t="n">
        <x:v>0.001</x:v>
      </x:c>
      <x:c r="G36" s="12" t="str">
        <x:v>D07: допущение; динамический ток зарядки входа ADC и буфер ещё проверить</x:v>
      </x:c>
      <x:c r="H36" s="12" t="str">
        <x:v>https://github.com/max-talanov/mira/tree/52f43869b6ed5019490eb40afbc84a4d607fd61e/hardware</x:v>
      </x:c>
      <x:c r="I36" s="37" t="n">
        <x:v>0.005</x:v>
      </x:c>
    </x:row>
    <x:row r="37" ht="47" customHeight="1">
      <x:c r="A37" s="2" t="str">
        <x:v>USB5</x:v>
      </x:c>
      <x:c r="B37" s="2" t="str">
        <x:v>Control</x:v>
      </x:c>
      <x:c r="C37" s="13" t="str">
        <x:v>U706 HD3SS3220 VDD5</x:v>
      </x:c>
      <x:c r="D37" s="11" t="n">
        <x:v>0.02</x:v>
      </x:c>
      <x:c r="E37" s="38" t="n">
        <x:f>I37*'Вход'!$C$22</x:f>
        <x:v>0.065</x:v>
      </x:c>
      <x:c r="F37" s="11" t="n">
        <x:v>0.02</x:v>
      </x:c>
      <x:c r="G37" s="13" t="str">
        <x:v>D10: резерв только контроллеру Type-C; внешняя нагрузка USB VBUS не разрешена и не учтена</x:v>
      </x:c>
      <x:c r="H37" s="13" t="str">
        <x:v>https://github.com/max-talanov/mira/tree/52f43869b6ed5019490eb40afbc84a4d607fd61e/hardware</x:v>
      </x:c>
      <x:c r="I37" s="37" t="n">
        <x:v>0.05</x:v>
      </x:c>
    </x:row>
    <x:row r="38">
      <x:c r="A38" s="2"/>
      <x:c r="B38" s="2"/>
      <x:c r="C38" s="2"/>
      <x:c r="D38" s="2"/>
      <x:c r="E38" s="2"/>
      <x:c r="F38" s="2"/>
      <x:c r="G38" s="2"/>
      <x:c r="H38" s="2"/>
    </x:row>
    <x:row r="39">
      <x:c r="A39" s="2"/>
      <x:c r="B39" s="2"/>
      <x:c r="C39" s="2"/>
      <x:c r="D39" s="2"/>
      <x:c r="E39" s="2"/>
      <x:c r="F39" s="2"/>
      <x:c r="G39" s="2"/>
      <x:c r="H39" s="2"/>
    </x:row>
    <x:row r="40">
      <x:c r="A40" s="2"/>
      <x:c r="B40" s="2"/>
      <x:c r="C40" s="2"/>
      <x:c r="D40" s="2"/>
      <x:c r="E40" s="2"/>
      <x:c r="F40" s="2"/>
      <x:c r="G40" s="2"/>
      <x:c r="H40" s="2"/>
    </x:row>
    <x:row r="41">
      <x:c r="A41" s="2"/>
      <x:c r="B41" s="2"/>
      <x:c r="C41" s="2"/>
      <x:c r="D41" s="2"/>
      <x:c r="E41" s="2"/>
      <x:c r="F41" s="2"/>
      <x:c r="G41" s="2"/>
      <x:c r="H41" s="2"/>
    </x:row>
    <x:row r="42">
      <x:c r="A42" s="2"/>
      <x:c r="B42" s="2"/>
      <x:c r="C42" s="2"/>
      <x:c r="D42" s="2"/>
      <x:c r="E42" s="2"/>
      <x:c r="F42" s="2"/>
      <x:c r="G42" s="2"/>
      <x:c r="H42" s="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637C9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65" hidden="0" customWidth="1"/>
    <x:col min="3" max="3" width="18" hidden="0" customWidth="1"/>
    <x:col min="4" max="4" width="12" hidden="0" customWidth="1"/>
    <x:col min="5" max="5" width="108" hidden="0" customWidth="1"/>
  </x:cols>
  <x:sheetData>
    <x:row r="1">
      <x:c r="A1" s="2"/>
      <x:c r="B1" s="2"/>
      <x:c r="C1" s="2"/>
      <x:c r="D1" s="2"/>
      <x:c r="E1" s="2"/>
    </x:row>
    <x:row r="2">
      <x:c r="A2" s="3" t="str">
        <x:v>Входная мощность и исходные условия</x:v>
      </x:c>
      <x:c r="B2" s="2"/>
      <x:c r="C2" s="2"/>
      <x:c r="D2" s="2"/>
      <x:c r="E2" s="2"/>
    </x:row>
    <x:row r="3">
      <x:c r="A3" s="4" t="str">
        <x:v>Все сценарии используют один набор нагрузок. Источники и производные шины суммируются без повторного учёта.</x:v>
      </x:c>
      <x:c r="B3" s="2"/>
      <x:c r="C3" s="2"/>
      <x:c r="D3" s="2"/>
      <x:c r="E3" s="2"/>
    </x:row>
    <x:row r="4">
      <x:c r="A4" s="2"/>
      <x:c r="B4" s="2"/>
      <x:c r="C4" s="2"/>
      <x:c r="D4" s="2"/>
      <x:c r="E4" s="2"/>
    </x:row>
    <x:row r="5" ht="40" customHeight="1">
      <x:c r="A5" s="8" t="str">
        <x:v>ID</x:v>
      </x:c>
      <x:c r="B5" s="8" t="str">
        <x:v>Параметр</x:v>
      </x:c>
      <x:c r="C5" s="8" t="str">
        <x:v>Значение</x:v>
      </x:c>
      <x:c r="D5" s="8" t="str">
        <x:v>Единица</x:v>
      </x:c>
      <x:c r="E5" s="8" t="str">
        <x:v>Основание</x:v>
      </x:c>
    </x:row>
    <x:row r="6" ht="34" customHeight="1">
      <x:c r="A6" s="9" t="str">
        <x:v>vin</x:v>
      </x:c>
      <x:c r="B6" s="9" t="str">
        <x:v>Вход номинальный</x:v>
      </x:c>
      <x:c r="C6" s="14" t="n">
        <x:v>24</x:v>
      </x:c>
      <x:c r="D6" s="9" t="str">
        <x:v>В</x:v>
      </x:c>
      <x:c r="E6" s="12" t="str">
        <x:v>D12: рабочая точка источника 24 В</x:v>
      </x:c>
    </x:row>
    <x:row r="7" ht="34" customHeight="1">
      <x:c r="A7" s="2" t="str">
        <x:v>vin_min</x:v>
      </x:c>
      <x:c r="B7" s="2" t="str">
        <x:v>Вход минимальный</x:v>
      </x:c>
      <x:c r="C7" s="14" t="n">
        <x:v>18</x:v>
      </x:c>
      <x:c r="D7" s="2" t="str">
        <x:v>В</x:v>
      </x:c>
      <x:c r="E7" s="13" t="str">
        <x:v>D12: расчёт по 18 В; окно eFuse шире</x:v>
      </x:c>
    </x:row>
    <x:row r="8" ht="34" customHeight="1">
      <x:c r="A8" s="9" t="str">
        <x:v>vin_max</x:v>
      </x:c>
      <x:c r="B8" s="9" t="str">
        <x:v>Вход максимальный</x:v>
      </x:c>
      <x:c r="C8" s="14" t="n">
        <x:v>30</x:v>
      </x:c>
      <x:c r="D8" s="9" t="str">
        <x:v>В</x:v>
      </x:c>
      <x:c r="E8" s="12" t="str">
        <x:v>Рабочий вход кандидата 18–30 В. Уставка OVP около 34 В; выбросы проверить отдельно.</x:v>
      </x:c>
    </x:row>
    <x:row r="9" ht="34" customHeight="1">
      <x:c r="A9" s="2" t="str">
        <x:v>cap_factor</x:v>
      </x:c>
      <x:c r="B9" s="2" t="str">
        <x:v>Множитель ёмкости</x:v>
      </x:c>
      <x:c r="C9" s="14" t="n">
        <x:v>1.2</x:v>
      </x:c>
      <x:c r="D9" s="2" t="str">
        <x:v>×</x:v>
      </x:c>
      <x:c r="E9" s="13" t="str">
        <x:v>D13: +20% к номиналу для оценки заряда; не модель DC-bias</x:v>
      </x:c>
    </x:row>
    <x:row r="10" ht="34" customHeight="1">
      <x:c r="A10" s="9" t="str">
        <x:v>reg_tol</x:v>
      </x:c>
      <x:c r="B10" s="9" t="str">
        <x:v>Отклонение выходного напряжения</x:v>
      </x:c>
      <x:c r="C10" s="15" t="n">
        <x:v>0.02</x:v>
      </x:c>
      <x:c r="D10" s="9" t="str">
        <x:v>доля</x:v>
      </x:c>
      <x:c r="E10" s="12" t="str">
        <x:v>D14: условные ±2%, включая делитель; не подтверждённый worst case</x:v>
      </x:c>
    </x:row>
    <x:row r="11" ht="34" customHeight="1">
      <x:c r="A11" s="2" t="str">
        <x:v>transient_v</x:v>
      </x:c>
      <x:c r="B11" s="2" t="str">
        <x:v>Запас на динамическую просадку</x:v>
      </x:c>
      <x:c r="C11" s="14" t="n">
        <x:v>0.01</x:v>
      </x:c>
      <x:c r="D11" s="2" t="str">
        <x:v>В</x:v>
      </x:c>
      <x:c r="E11" s="13" t="str">
        <x:v>D14: 10 мВ как начальное распределение допуска</x:v>
      </x:c>
    </x:row>
    <x:row r="12" ht="34" customHeight="1">
      <x:c r="A12" s="9" t="str">
        <x:v>contact_mohm</x:v>
      </x:c>
      <x:c r="B12" s="9" t="str">
        <x:v>Сопротивление одной контактной пары</x:v>
      </x:c>
      <x:c r="C12" s="14" t="n">
        <x:v>20</x:v>
      </x:c>
      <x:c r="D12" s="9" t="str">
        <x:v>мОм</x:v>
      </x:c>
      <x:c r="E12" s="12" t="str">
        <x:v>20 мОм — проектный приёмочный бюджет контактной пары, не гарантированный максимум Samtec.</x:v>
      </x:c>
    </x:row>
    <x:row r="13" ht="34" customHeight="1">
      <x:c r="A13" s="2" t="str">
        <x:v>pcb_loop_mohm</x:v>
      </x:c>
      <x:c r="B13" s="2" t="str">
        <x:v>PCB петля: прежний общий ориентир</x:v>
      </x:c>
      <x:c r="C13" s="14" t="n">
        <x:v>5</x:v>
      </x:c>
      <x:c r="D13" s="2" t="str">
        <x:v>мОм</x:v>
      </x:c>
      <x:c r="E13" s="13" t="str">
        <x:v>Не используется для подтверждения распределённых вводов. Для CORE отдельный расчёт на листе «Контакты».</x:v>
      </x:c>
    </x:row>
    <x:row r="14" ht="34" customHeight="1">
      <x:c r="A14" s="9" t="str">
        <x:v>sharing_factor</x:v>
      </x:c>
      <x:c r="B14" s="9" t="str">
        <x:v>Неравномерность тока параллельных контактов</x:v>
      </x:c>
      <x:c r="C14" s="14" t="n">
        <x:v>1.25</x:v>
      </x:c>
      <x:c r="D14" s="9" t="str">
        <x:v>×</x:v>
      </x:c>
      <x:c r="E14" s="12" t="str">
        <x:v>D15: 1,25 для предварительной оценки</x:v>
      </x:c>
    </x:row>
    <x:row r="15" ht="34" customHeight="1">
      <x:c r="A15" s="2" t="str">
        <x:v>pin_budget_a</x:v>
      </x:c>
      <x:c r="B15" s="2" t="str">
        <x:v>Рабочий бюджет на контакт</x:v>
      </x:c>
      <x:c r="C15" s="14" t="n">
        <x:v>1</x:v>
      </x:c>
      <x:c r="D15" s="2" t="str">
        <x:v>А</x:v>
      </x:c>
      <x:c r="E15" s="13" t="str">
        <x:v>D15: 1 А условно; не паспортный ток выбранного разъёма</x:v>
      </x:c>
    </x:row>
    <x:row r="16" ht="34" customHeight="1">
      <x:c r="A16" s="9" t="str">
        <x:v>efuse_r_kohm</x:v>
      </x:c>
      <x:c r="B16" s="9" t="str">
        <x:v>R305 ILIM</x:v>
      </x:c>
      <x:c r="C16" s="14" t="n">
        <x:v>5.1</x:v>
      </x:c>
      <x:c r="D16" s="9" t="str">
        <x:v>кОм</x:v>
      </x:c>
      <x:c r="E16" s="12" t="str">
        <x:v>Схема: 5,1 кОм, 1%; номинальный IOL=18/R</x:v>
      </x:c>
    </x:row>
    <x:row r="17" ht="34" customHeight="1">
      <x:c r="A17" s="2" t="str">
        <x:v>efuse_tol</x:v>
      </x:c>
      <x:c r="B17" s="2" t="str">
        <x:v>Оценочный разброс порога eFuse</x:v>
      </x:c>
      <x:c r="C17" s="15" t="n">
        <x:v>0.1</x:v>
      </x:c>
      <x:c r="D17" s="2" t="str">
        <x:v>доля</x:v>
      </x:c>
      <x:c r="E17" s="13" t="str">
        <x:v>D16: ±10% плюс 1% R; консервативная оценка, не гарантия для 5,1 кОм</x:v>
      </x:c>
    </x:row>
    <x:row r="18" ht="34" customHeight="1">
      <x:c r="A18" s="9" t="str">
        <x:v>input_path_ohm</x:v>
      </x:c>
      <x:c r="B18" s="9" t="str">
        <x:v>Полное сопротивление входного тракта</x:v>
      </x:c>
      <x:c r="C18" s="14" t="n">
        <x:v>0.12</x:v>
      </x:c>
      <x:c r="D18" s="9" t="str">
        <x:v>Ом</x:v>
      </x:c>
      <x:c r="E18" s="12" t="str">
        <x:v>D17: 0,12 Ом, включая кабель/контакты/защиту/шунт; уточнить</x:v>
      </x:c>
    </x:row>
    <x:row r="19" ht="34" customHeight="1">
      <x:c r="A19" s="2" t="str">
        <x:v>input_cap_uF</x:v>
      </x:c>
      <x:c r="B19" s="2" t="str">
        <x:v>Ёмкость при первом подъёме BUS24</x:v>
      </x:c>
      <x:c r="C19" s="14" t="n">
        <x:v>144.2</x:v>
      </x:c>
      <x:c r="D19" s="2" t="str">
        <x:v>мкФ</x:v>
      </x:c>
      <x:c r="E19" s="13" t="str">
        <x:v>Сумма номиналов к GND на BUS24, BUS24_PRE_SHUNT и EFUSE_OUT по текущему netlist.</x:v>
      </x:c>
    </x:row>
    <x:row r="20" ht="34" customHeight="1">
      <x:c r="A20" s="9" t="str">
        <x:v>input_slew_v_ms</x:v>
      </x:c>
      <x:c r="B20" s="9" t="str">
        <x:v>Скорость подъёма eFuse</x:v>
      </x:c>
      <x:c r="C20" s="14" t="n">
        <x:v>0.5</x:v>
      </x:c>
      <x:c r="D20" s="9" t="str">
        <x:v>В/мс</x:v>
      </x:c>
      <x:c r="E20" s="12" t="str">
        <x:v>Схема: C304=100 нФ, около 0,5 В/мс; типовое значение</x:v>
      </x:c>
    </x:row>
    <x:row r="21" ht="34" customHeight="1">
      <x:c r="A21" s="2" t="str">
        <x:v>vin_aux_a</x:v>
      </x:c>
      <x:c r="B21" s="2" t="str">
        <x:v>Входная служебная нагрузка</x:v>
      </x:c>
      <x:c r="C21" s="14" t="n">
        <x:v>0.015</x:v>
      </x:c>
      <x:c r="D21" s="2" t="str">
        <x:v>А</x:v>
      </x:c>
      <x:c r="E21" s="13" t="str">
        <x:v>D17: 15 мА на индикацию, делители и собственное потребление</x:v>
      </x:c>
    </x:row>
    <x:row r="22" ht="34" customHeight="1">
      <x:c r="A22" s="9" t="str">
        <x:v>reserve_factor</x:v>
      </x:c>
      <x:c r="B22" s="9" t="str">
        <x:v>Множитель базового пика нагрузок</x:v>
      </x:c>
      <x:c r="C22" s="14" t="n">
        <x:v>1.3</x:v>
      </x:c>
      <x:c r="D22" s="9" t="str">
        <x:v>×</x:v>
      </x:c>
      <x:c r="E22" s="12" t="str">
        <x:v>+30% к каждому исходному пику нагрузки. Во входной мощности повторно не умножается.</x:v>
      </x:c>
    </x:row>
    <x:row r="23" ht="34" customHeight="1">
      <x:c r="A23" s="2"/>
      <x:c r="B23" s="2"/>
      <x:c r="C23" s="2"/>
      <x:c r="D23" s="2"/>
      <x:c r="E23" s="13"/>
    </x:row>
    <x:row r="24" ht="34" customHeight="1">
      <x:c r="A24" s="9"/>
      <x:c r="B24" s="9"/>
      <x:c r="C24" s="9"/>
      <x:c r="D24" s="9"/>
      <x:c r="E24" s="12"/>
    </x:row>
    <x:row r="25" ht="34" customHeight="1">
      <x:c r="A25" s="2"/>
      <x:c r="B25" s="2" t="str">
        <x:v>Мощность на BUS24, средний сценарий, Вт</x:v>
      </x:c>
      <x:c r="C25" s="17" t="n">
        <x:f>('Шины'!P6+'Шины'!P7+'Шины'!P8+'Шины'!P9+'Шины'!P18+'Шины'!P21+'Шины'!P22)*C6+C6*C21</x:f>
        <x:v>15.361068702928616</x:v>
      </x:c>
      <x:c r="D25" s="2"/>
      <x:c r="E25" s="13"/>
    </x:row>
    <x:row r="26" ht="34" customHeight="1">
      <x:c r="A26" s="9"/>
      <x:c r="B26" s="9" t="str">
        <x:v>Мощность на BUS24, пиковый сценарий, Вт</x:v>
      </x:c>
      <x:c r="C26" s="16" t="n">
        <x:f>('Шины'!Q6+'Шины'!Q7+'Шины'!Q8+'Шины'!Q9+'Шины'!Q18+'Шины'!Q21+'Шины'!Q22)*C6+C6*C21</x:f>
        <x:v>42.79523885920843</x:v>
      </x:c>
      <x:c r="D26" s="9"/>
      <x:c r="E26" s="12"/>
    </x:row>
    <x:row r="27" ht="34" customHeight="1">
      <x:c r="A27" s="2"/>
      <x:c r="B27" s="2" t="str">
        <x:v>Огибающая пуска преобразователей, Вт</x:v>
      </x:c>
      <x:c r="C27" s="17" t="n">
        <x:f>('Пуск'!K6+'Пуск'!K7+'Пуск'!K8+'Пуск'!K9+'Пуск'!K18+'Пуск'!K21+'Пуск'!K22)*C6+C6*C21</x:f>
        <x:v>38.887472354021696</x:v>
      </x:c>
      <x:c r="D27" s="2"/>
      <x:c r="E27" s="13"/>
    </x:row>
    <x:row r="28" ht="34" customHeight="1">
      <x:c r="A28" s="9"/>
      <x:c r="B28" s="9"/>
      <x:c r="C28" s="16"/>
      <x:c r="D28" s="9"/>
      <x:c r="E28" s="12"/>
    </x:row>
    <x:row r="29" ht="34" customHeight="1">
      <x:c r="A29" s="2"/>
      <x:c r="B29" s="2" t="str">
        <x:v>Ток входа при номинальном Vin, средний, А</x:v>
      </x:c>
      <x:c r="C29" s="17" t="n">
        <x:f>IF(C18=0,C25/C6,(C6-SQRT(C6^2-4*C18*C25))/(2*C18))</x:f>
        <x:v>0.6421060300578763</x:v>
      </x:c>
      <x:c r="D29" s="2"/>
      <x:c r="E29" s="13"/>
    </x:row>
    <x:row r="30" ht="34" customHeight="1">
      <x:c r="A30" s="9"/>
      <x:c r="B30" s="9" t="str">
        <x:v>Ток входа при номинальном Vin, пик, А</x:v>
      </x:c>
      <x:c r="C30" s="16" t="n">
        <x:f>IF(C18=0,C26/C6,(C6-SQRT(C6^2-4*C18*C26))/(2*C18))</x:f>
        <x:v>1.7993227645216456</x:v>
      </x:c>
      <x:c r="D30" s="9"/>
      <x:c r="E30" s="12"/>
    </x:row>
    <x:row r="31" ht="34" customHeight="1">
      <x:c r="A31" s="2"/>
      <x:c r="B31" s="2" t="str">
        <x:v>Ток входа при минимальном Vin, пик, А</x:v>
      </x:c>
      <x:c r="C31" s="17" t="n">
        <x:f>IF(C18=0,C26/C7,(C7-SQRT(C7^2-4*C18*C26))/(2*C18))</x:f>
        <x:v>2.416441190124911</x:v>
      </x:c>
      <x:c r="D31" s="2"/>
      <x:c r="E31" s="13"/>
    </x:row>
    <x:row r="32" ht="34" customHeight="1">
      <x:c r="A32" s="9"/>
      <x:c r="B32" s="9" t="str">
        <x:v>Ток входа при минимальном Vin, пуск, А</x:v>
      </x:c>
      <x:c r="C32" s="16" t="n">
        <x:f>IF(C18=0,C27/C7,(C7-SQRT(C7^2-4*C18*C27))/(2*C18))</x:f>
        <x:v>2.1924610333301215</x:v>
      </x:c>
      <x:c r="D32" s="9"/>
      <x:c r="E32" s="12"/>
    </x:row>
    <x:row r="33" ht="34" customHeight="1">
      <x:c r="A33" s="2"/>
      <x:c r="B33" s="2"/>
      <x:c r="C33" s="17"/>
      <x:c r="D33" s="2"/>
      <x:c r="E33" s="13"/>
    </x:row>
    <x:row r="34" ht="34" customHeight="1">
      <x:c r="A34" s="9"/>
      <x:c r="B34" s="9" t="str">
        <x:v>Порог eFuse номинальный, А</x:v>
      </x:c>
      <x:c r="C34" s="16" t="n">
        <x:f>18/C16</x:f>
        <x:v>3.5294117647058827</x:v>
      </x:c>
      <x:c r="D34" s="9"/>
      <x:c r="E34" s="12"/>
    </x:row>
    <x:row r="35" ht="34" customHeight="1">
      <x:c r="A35" s="2"/>
      <x:c r="B35" s="2" t="str">
        <x:v>Нижняя оценка порога eFuse, А</x:v>
      </x:c>
      <x:c r="C35" s="17" t="n">
        <x:f>C34*(1-C17)/1.01</x:f>
        <x:v>3.1450203843913807</x:v>
      </x:c>
      <x:c r="D35" s="2"/>
      <x:c r="E35" s="13"/>
    </x:row>
    <x:row r="36" ht="34" customHeight="1">
      <x:c r="A36" s="9"/>
      <x:c r="B36" s="9" t="str">
        <x:v>Запас eFuse к пику при Vin min, А</x:v>
      </x:c>
      <x:c r="C36" s="16" t="n">
        <x:f>C35-C31</x:f>
        <x:v>0.7285791942664694</x:v>
      </x:c>
      <x:c r="D36" s="9"/>
      <x:c r="E36" s="12"/>
    </x:row>
    <x:row r="37" ht="34" customHeight="1">
      <x:c r="A37" s="2"/>
      <x:c r="B37" s="2" t="str">
        <x:v>Входная мощность при расчётном пике, Вт</x:v>
      </x:c>
      <x:c r="C37" s="17" t="n">
        <x:f>C30*C6</x:f>
        <x:v>43.18374634851949</x:v>
      </x:c>
      <x:c r="D37" s="2"/>
      <x:c r="E37" s="13"/>
    </x:row>
    <x:row r="38" ht="34" customHeight="1">
      <x:c r="A38" s="9"/>
      <x:c r="B38" s="9"/>
      <x:c r="C38" s="16"/>
      <x:c r="D38" s="9"/>
      <x:c r="E38" s="12"/>
    </x:row>
    <x:row r="39" ht="34" customHeight="1">
      <x:c r="A39" s="2"/>
      <x:c r="B39" s="2" t="str">
        <x:v>Начальный заряд BUS24, А</x:v>
      </x:c>
      <x:c r="C39" s="17" t="n">
        <x:f>C19*C9*C20/1000</x:f>
        <x:v>0.08652</x:v>
      </x:c>
      <x:c r="D39" s="2"/>
      <x:c r="E39" s="13"/>
    </x:row>
    <x:row r="40" ht="34" customHeight="1">
      <x:c r="A40" s="9"/>
      <x:c r="B40" s="9" t="str">
        <x:v>Время подъёма до 24 В, мс</x:v>
      </x:c>
      <x:c r="C40" s="16" t="n">
        <x:f>C6/C20</x:f>
        <x:v>48</x:v>
      </x:c>
      <x:c r="D40" s="9"/>
      <x:c r="E40" s="12"/>
    </x:row>
    <x:row r="41" ht="34" customHeight="1">
      <x:c r="A41" s="2"/>
      <x:c r="B41" s="2" t="str">
        <x:v>F201, номинал, А</x:v>
      </x:c>
      <x:c r="C41" s="17" t="n">
        <x:v>5</x:v>
      </x:c>
      <x:c r="D41" s="2"/>
      <x:c r="E41" s="13"/>
    </x:row>
    <x:row r="42" ht="34" customHeight="1">
      <x:c r="A42" s="9"/>
      <x:c r="B42" s="9" t="str">
        <x:v>R401, Ом</x:v>
      </x:c>
      <x:c r="C42" s="16" t="n">
        <x:v>0.02</x:v>
      </x:c>
      <x:c r="D42" s="9"/>
      <x:c r="E42" s="12"/>
    </x:row>
    <x:row r="43" ht="34" customHeight="1">
      <x:c r="A43" s="2"/>
      <x:c r="B43" s="2" t="str">
        <x:v>Нагрев R401 при пике Vin min, Вт</x:v>
      </x:c>
      <x:c r="C43" s="17" t="n">
        <x:f>C31^2*C42</x:f>
        <x:v>0.11678376050664595</x:v>
      </x:c>
      <x:c r="D43" s="2"/>
      <x:c r="E43" s="13"/>
    </x:row>
    <x:row r="44" ht="34" customHeight="1">
      <x:c r="A44" s="9"/>
      <x:c r="B44" s="9" t="str">
        <x:v>Рассеяние входного тракта при пике Vin min, Вт</x:v>
      </x:c>
      <x:c r="C44" s="16" t="n">
        <x:f>C31^2*C18</x:f>
        <x:v>0.7007025630398757</x:v>
      </x:c>
      <x:c r="D44" s="9"/>
      <x:c r="E44" s="12"/>
    </x:row>
    <x:row r="45" ht="34" customHeight="1">
      <x:c r="A45" s="2"/>
      <x:c r="B45" s="2"/>
      <x:c r="C45" s="17"/>
      <x:c r="D45" s="2"/>
      <x:c r="E45" s="13"/>
    </x:row>
    <x:row r="46" ht="34" customHeight="1">
      <x:c r="A46" s="9"/>
      <x:c r="B46" s="9" t="str">
        <x:v>N15: паспортный ток модуля, А</x:v>
      </x:c>
      <x:c r="C46" s="16" t="n">
        <x:f>'Шины'!E22</x:f>
        <x:v>2</x:v>
      </x:c>
      <x:c r="D46" s="9"/>
      <x:c r="E46" s="12"/>
    </x:row>
    <x:row r="47" ht="34" customHeight="1">
      <x:c r="A47" s="2"/>
      <x:c r="B47" s="2" t="str">
        <x:v>N15: нижняя статическая оценка OCP, А</x:v>
      </x:c>
      <x:c r="C47" s="17" t="n">
        <x:v>0.5125921326601899</x:v>
      </x:c>
      <x:c r="D47" s="2"/>
      <x:c r="E47" s="13" t="str">
        <x:v>Снимок расчёта допусков n15-ocp-corners.json; уставки схемы здесь не редактируются.</x:v>
      </x:c>
    </x:row>
    <x:row r="48" ht="34" customHeight="1">
      <x:c r="A48" s="9"/>
      <x:c r="B48" s="9" t="str">
        <x:v>N15: запас OCP к пику, А</x:v>
      </x:c>
      <x:c r="C48" s="16" t="n">
        <x:f>C47-'Шины'!O22</x:f>
        <x:v>0.044592132660189854</x:v>
      </x:c>
      <x:c r="D48" s="9"/>
      <x:c r="E48" s="12" t="str">
        <x:v>Пуск 5 мс — условный сценарий; он может пересекать OCP даже при запасе модуля по току.</x:v>
      </x:c>
    </x:row>
    <x:row r="49" ht="34" customHeight="1">
      <x:c r="A49" s="2"/>
      <x:c r="B49" s="2"/>
      <x:c r="C49" s="17"/>
      <x:c r="D49" s="2"/>
      <x:c r="E49" s="13"/>
    </x:row>
    <x:row r="50" ht="34" customHeight="1">
      <x:c r="A50" s="9"/>
      <x:c r="B50" s="9" t="str">
        <x:v>VTT: число внешних терминаций</x:v>
      </x:c>
      <x:c r="C50" s="16" t="n">
        <x:v>23</x:v>
      </x:c>
      <x:c r="D50" s="9"/>
      <x:c r="E50" s="12"/>
    </x:row>
    <x:row r="51" ht="34" customHeight="1">
      <x:c r="A51" s="2"/>
      <x:c r="B51" s="2" t="str">
        <x:v>VTT: сопротивление терминации, Ом</x:v>
      </x:c>
      <x:c r="C51" s="17" t="n">
        <x:v>49.9</x:v>
      </x:c>
      <x:c r="D51" s="2"/>
      <x:c r="E51" s="13"/>
    </x:row>
    <x:row r="52" ht="34" customHeight="1">
      <x:c r="A52" s="9"/>
      <x:c r="B52" s="9" t="str">
        <x:v>VTT: предельный source/sink, А</x:v>
      </x:c>
      <x:c r="C52" s="16" t="n">
        <x:f>C50*ABS('Шины'!D16)/C51</x:f>
        <x:v>0.31112224448897796</x:v>
      </x:c>
      <x:c r="D52" s="9"/>
      <x:c r="E52" s="12"/>
    </x:row>
    <x:row r="53" ht="34" customHeight="1">
      <x:c r="A53" s="2"/>
      <x:c r="B53" s="2" t="str">
        <x:v>VTT: суммарное рассеяние терминаций, Вт</x:v>
      </x:c>
      <x:c r="C53" s="17" t="n">
        <x:f>C50*'Шины'!D16^2/C51</x:f>
        <x:v>0.21000751503006015</x:v>
      </x:c>
      <x:c r="D53" s="2"/>
      <x:c r="E53" s="13"/>
    </x:row>
    <x:row r="54" ht="34" customHeight="1">
      <x:c r="A54" s="9"/>
      <x:c r="B54" s="9"/>
      <x:c r="C54" s="16"/>
      <x:c r="D54" s="9"/>
      <x:c r="E54" s="12"/>
    </x:row>
    <x:row r="55" ht="34" customHeight="1">
      <x:c r="A55" s="2"/>
      <x:c r="B55" s="2" t="str">
        <x:v>FPGA: типовая основа стартового тока core+BRAM, А</x:v>
      </x:c>
      <x:c r="C55" s="17" t="n">
        <x:v>0.759</x:v>
      </x:c>
      <x:c r="D55" s="2"/>
      <x:c r="E55" s="13" t="str">
        <x:v>AMD: (328+340)+(11+80)=759 мА; исходный ICCQ типовой при Tj=85°C, не гарантированный максимум.</x:v>
      </x:c>
    </x:row>
    <x:row r="56" ht="34" customHeight="1">
      <x:c r="A56" s="9"/>
      <x:c r="B56" s="9"/>
      <x:c r="C56" s="9"/>
      <x:c r="D56" s="9"/>
      <x:c r="E56" s="12"/>
    </x:row>
    <x:row r="57" ht="34" customHeight="1">
      <x:c r="A57" s="2"/>
      <x:c r="B57" s="2" t="str">
        <x:v>Примечание к пуску</x:v>
      </x:c>
      <x:c r="C57" s="2"/>
      <x:c r="D57" s="2"/>
      <x:c r="E57" s="13" t="str">
        <x:v>C39 — первый подъём BUS24 при выключенных DC/DC. C32 — отдельная огибающая запуска вторичных шин; эти этапы не суммируются автоматически.</x:v>
      </x:c>
    </x:row>
    <x:row r="58" ht="34" customHeight="1">
      <x:c r="A58" s="9"/>
      <x:c r="B58" s="9" t="str">
        <x:v>Примечание к VTT</x:v>
      </x:c>
      <x:c r="C58" s="9"/>
      <x:c r="D58" s="9"/>
      <x:c r="E58" s="12" t="str">
        <x:v>Пик DDR рассчитан для максимального source VTT. При sink ток приходит через FPGA; в балансе нельзя считать его рекуперацией.</x:v>
      </x:c>
    </x:row>
    <x:row r="59" ht="34" customHeight="1">
      <x:c r="A59" s="2"/>
      <x:c r="B59" s="2" t="str">
        <x:v>Примечание к входной защите</x:v>
      </x:c>
      <x:c r="C59" s="2"/>
      <x:c r="D59" s="2"/>
      <x:c r="E59" s="13" t="str">
        <x:v>5 А у F201 не являются мгновенным порогом. Температурное снижение, I²t, повторные импульсы и отключение ещё проверить.</x:v>
      </x:c>
    </x:row>
    <x:row r="60" ht="34" customHeight="1">
      <x:c r="A60" s="9"/>
      <x:c r="B60" s="9" t="str">
        <x:v>Источник входных настроек</x:v>
      </x:c>
      <x:c r="C60" s="9"/>
      <x:c r="D60" s="9"/>
      <x:c r="E60" s="12" t="str">
        <x:v>https://github.com/max-talanov/mira/tree/52f43869b6ed5019490eb40afbc84a4d607fd61e/hardware; https://www.ti.com/lit/ds/symlink/tps2663.pdf</x:v>
      </x:c>
    </x:row>
    <x:row r="61" ht="34" customHeight="1">
      <x:c r="A61" s="2"/>
      <x:c r="B61" s="2" t="str">
        <x:v>Источник N15</x:v>
      </x:c>
      <x:c r="C61" s="2"/>
      <x:c r="D61" s="2"/>
      <x:c r="E61" s="13" t="str">
        <x:v>https://www.tracopower.com/products/ten30win.pdf</x:v>
      </x:c>
    </x:row>
    <x:row r="62" ht="34" customHeight="1">
      <x:c r="A62" s="9"/>
      <x:c r="B62" s="9" t="str">
        <x:v>Источник FPGA</x:v>
      </x:c>
      <x:c r="C62" s="9"/>
      <x:c r="D62" s="9"/>
      <x:c r="E62" s="12" t="str">
        <x:v>https://docs.amd.com/v/u/en-US/ds181_Artix_7_Data_Sheet</x:v>
      </x:c>
    </x:row>
    <x:row r="63" ht="34" customHeight="1">
      <x:c r="A63" s="2"/>
      <x:c r="B63" s="2" t="str">
        <x:v>Источник контактных ограничений</x:v>
      </x:c>
      <x:c r="C63" s="2"/>
      <x:c r="D63" s="2"/>
      <x:c r="E63" s="13" t="str">
        <x:v>../distributed-power/connector-bom.csv; https://www.samtec.com/products/ssw-113-01-s-d</x:v>
      </x:c>
    </x:row>
    <x:row r="64" ht="55" customHeight="1">
      <x:c r="A64" s="9"/>
      <x:c r="B64" s="9"/>
      <x:c r="C64" s="9"/>
      <x:c r="D64" s="9"/>
      <x:c r="E64" s="12" t="str">
        <x:v>Выбраны восемь пар SSW/HTSW. 1 А/контакт — проектное ограничение; требуется температурная проверка при совместной нагрузке.</x:v>
      </x:c>
    </x:row>
    <x:row r="65" ht="55" customHeight="1">
      <x:c r="A65" s="2"/>
      <x:c r="B65" s="2" t="str">
        <x:v>D20: КПД и собственное потребление</x:v>
      </x:c>
      <x:c r="C65" s="2"/>
      <x:c r="D65" s="2"/>
      <x:c r="E65" s="13" t="str">
        <x:v>Для N15: η=0,80 как сценарий потерь плюс 30 мА типового холостого тока. Паспортные 89% полной нагрузки не переносятся на этот режим. Для остальных источников сохранены прежние допущения η/Iq.</x:v>
      </x:c>
    </x:row>
    <x:row r="66" ht="55" customHeight="1">
      <x:c r="A66" s="9"/>
      <x:c r="B66" s="9" t="str">
        <x:v>Границы модели</x:v>
      </x:c>
      <x:c r="C66" s="9"/>
      <x:c r="D66" s="9"/>
      <x:c r="E66" s="12" t="str">
        <x:v>ERC: 0/0/0 на обеих схемах. Модель не подтверждает PCB, переходные процессы, обрыв связи и тепловой режим.</x:v>
      </x:c>
    </x:row>
    <x:row r="67" ht="27" customHeight="1">
      <x:c r="A67" s="2"/>
      <x:c r="B67" s="2"/>
      <x:c r="C67" s="2"/>
      <x:c r="D67" s="2"/>
      <x:c r="E67" s="2"/>
    </x:row>
    <x:row r="68">
      <x:c r="A68" s="2"/>
      <x:c r="B68" s="2"/>
      <x:c r="C68" s="2"/>
      <x:c r="D68" s="2"/>
      <x:c r="E68" s="2"/>
    </x:row>
    <x:row r="69">
      <x:c r="A69" s="2"/>
      <x:c r="B69" s="2"/>
      <x:c r="C69" s="2"/>
      <x:c r="D69" s="2"/>
      <x:c r="E69" s="2"/>
    </x:row>
    <x:row r="70">
      <x:c r="A70" s="2"/>
      <x:c r="B70" s="2"/>
      <x:c r="C70" s="2"/>
      <x:c r="D70" s="2"/>
      <x:c r="E70" s="2"/>
    </x:row>
    <x:row r="71">
      <x:c r="A71" s="2"/>
      <x:c r="B71" s="2"/>
      <x:c r="C71" s="2"/>
      <x:c r="D71" s="2"/>
      <x:c r="E71" s="2"/>
    </x:row>
    <x:row r="72">
      <x:c r="A72" s="2"/>
      <x:c r="B72" s="2"/>
      <x:c r="C72" s="2"/>
      <x:c r="D72" s="2"/>
      <x:c r="E72" s="2"/>
    </x:row>
  </x:sheetData>
  <x:pageMargins left="0.7" right="0.7" top="0.75" bottom="0.75" header="0.3" footer="0.3"/>
</x:worksheet>
</file>